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A4D74C36-BB6B-496A-AFA4-F6216B2D7F09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order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2" l="1"/>
  <c r="AI3" i="2"/>
</calcChain>
</file>

<file path=xl/sharedStrings.xml><?xml version="1.0" encoding="utf-8"?>
<sst xmlns="http://schemas.openxmlformats.org/spreadsheetml/2006/main" count="233" uniqueCount="125">
  <si>
    <t>Order ID</t>
  </si>
  <si>
    <t>Order Status</t>
  </si>
  <si>
    <t>Hot Listing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</si>
  <si>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</si>
  <si>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</si>
  <si>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</si>
  <si>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</si>
  <si>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</si>
  <si>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</si>
  <si>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</si>
  <si>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</si>
  <si>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</si>
  <si>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</si>
  <si>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</si>
  <si>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</si>
  <si>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</si>
  <si>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</si>
  <si>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</si>
  <si>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</si>
  <si>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</si>
  <si>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Total Discount(PHP)</t>
  </si>
  <si>
    <t>Price Discount(from Seller)(PHP)</t>
  </si>
  <si>
    <t>Shopee Rebate(PHP)</t>
  </si>
  <si>
    <t>SKU Total Weight</t>
  </si>
  <si>
    <t>Number of Items in Order</t>
  </si>
  <si>
    <t>Order Total Weight</t>
  </si>
  <si>
    <t>Seller Voucher(PHP)</t>
  </si>
  <si>
    <t>Seller Absorbed Coin Cashback</t>
  </si>
  <si>
    <t>Shopee Voucher(PHP)</t>
  </si>
  <si>
    <t>Bundle Deals Indicator(Y/N)</t>
  </si>
  <si>
    <t>Shopee Bundle Discount(PHP)</t>
  </si>
  <si>
    <t>Seller Bundle Discount(PHP)</t>
  </si>
  <si>
    <t>Shopee Coins Offset(PHP)</t>
  </si>
  <si>
    <t>Credit Card Discount Total(PHP)</t>
  </si>
  <si>
    <t>Products' Price Paid by Buyer (PHP)</t>
  </si>
  <si>
    <t>Buyer Paid Shipping Fee</t>
  </si>
  <si>
    <t>Shipping Rebate Estimate</t>
  </si>
  <si>
    <t>Reverse Shipping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</si>
  <si>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</si>
  <si>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</si>
  <si>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</si>
  <si>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</si>
  <si>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</si>
  <si>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</si>
  <si>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</si>
  <si>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</si>
  <si>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</si>
  <si>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</si>
  <si>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</si>
  <si>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</si>
  <si>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</si>
  <si>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</si>
  <si>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</si>
  <si>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</si>
  <si>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Invoice request type</t>
  </si>
  <si>
    <t>Invoice type</t>
  </si>
  <si>
    <t>Name</t>
  </si>
  <si>
    <t>Business number</t>
  </si>
  <si>
    <t>Address</t>
  </si>
  <si>
    <t>2506213XK7TAYJ</t>
  </si>
  <si>
    <t>Shipping</t>
  </si>
  <si>
    <t>N</t>
  </si>
  <si>
    <t/>
  </si>
  <si>
    <t>PH2591802118666</t>
  </si>
  <si>
    <t>Standard Local-SPX Express</t>
  </si>
  <si>
    <t>pickup</t>
  </si>
  <si>
    <t>2025-06-21 21:00</t>
  </si>
  <si>
    <t>2025-06-21 13:46</t>
  </si>
  <si>
    <t>2025-06-21 00:25</t>
  </si>
  <si>
    <t>2025-06-21 00:35</t>
  </si>
  <si>
    <t>BLITZ201</t>
  </si>
  <si>
    <t>RYU MotoBlitz Universal Yayamanin Helmet Hook Thailand Design Gold Two Tone</t>
  </si>
  <si>
    <t>BLITZ201-Gold-Blue</t>
  </si>
  <si>
    <t>Gold-Blue</t>
  </si>
  <si>
    <t>55</t>
  </si>
  <si>
    <t>1</t>
  </si>
  <si>
    <t>0</t>
  </si>
  <si>
    <t>0.100</t>
  </si>
  <si>
    <t>33</t>
  </si>
  <si>
    <t>25</t>
  </si>
  <si>
    <t>3</t>
  </si>
  <si>
    <t>88</t>
  </si>
  <si>
    <t>58</t>
  </si>
  <si>
    <t>froilanvilleno612</t>
  </si>
  <si>
    <t>F******o</t>
  </si>
  <si>
    <t>******13</t>
  </si>
  <si>
    <t>Zone 2, Santo Domingo, Santo Domingo, Bula, South Luzon, Camarines Sur, 8676</t>
  </si>
  <si>
    <t>Santo Domingo</t>
  </si>
  <si>
    <t>Bula</t>
  </si>
  <si>
    <t>Camarines Sur</t>
  </si>
  <si>
    <t>South Luzon</t>
  </si>
  <si>
    <t>PH</t>
  </si>
  <si>
    <t>8676</t>
  </si>
  <si>
    <t>2</t>
  </si>
  <si>
    <t>Visayas</t>
  </si>
  <si>
    <t>25062156Y5KTWW</t>
  </si>
  <si>
    <t>PH2523584369268</t>
  </si>
  <si>
    <t>2025-06-21 16:38</t>
  </si>
  <si>
    <t>2025-06-21 12:28</t>
  </si>
  <si>
    <t>2025-06-21 12:38</t>
  </si>
  <si>
    <t>1.150</t>
  </si>
  <si>
    <t>99</t>
  </si>
  <si>
    <t>21</t>
  </si>
  <si>
    <t>150</t>
  </si>
  <si>
    <t>37</t>
  </si>
  <si>
    <t>582</t>
  </si>
  <si>
    <t>171</t>
  </si>
  <si>
    <t>geraldinesevilla858</t>
  </si>
  <si>
    <t>M******a</t>
  </si>
  <si>
    <t>******27</t>
  </si>
  <si>
    <t>Magallanes Street, Santo Rosario (Pob.), Santo Rosario (Pob.), Binalbagan, Visayas, Negros Occidental, 6107</t>
  </si>
  <si>
    <t>Santo Rosario (Pob.)</t>
  </si>
  <si>
    <t>Binalbagan</t>
  </si>
  <si>
    <t>Negros Occidental</t>
  </si>
  <si>
    <t>6107</t>
  </si>
  <si>
    <t>T5644</t>
  </si>
  <si>
    <t>RYU MotoPro Tail Light for TMX155 CG125 Running Animation Idle Light Signal Stop Light</t>
  </si>
  <si>
    <t>T5644-Red</t>
  </si>
  <si>
    <t>Red</t>
  </si>
  <si>
    <t>340</t>
  </si>
  <si>
    <t>0.800</t>
  </si>
  <si>
    <t>T5642</t>
  </si>
  <si>
    <t>RYU MotoPro Tail Light for Bajaj CT100 Running Animation Idle Light Signal Stop Light</t>
  </si>
  <si>
    <t>320</t>
  </si>
  <si>
    <t>0.350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</si>
</sst>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"/>
  <sheetViews>
    <sheetView tabSelected="1" topLeftCell="W1" workbookViewId="0">
      <selection activeCell="AB5" sqref="AB5"/>
    </sheetView>
  </sheetViews>
  <sheetFormatPr defaultRowHeight="14.4" x14ac:dyDescent="0.3"/>
  <cols>
    <col min="1" max="5" width="20" customWidth="1"/>
    <col min="6" max="7" width="30" customWidth="1"/>
    <col min="8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3" width="30" customWidth="1"/>
    <col min="24" max="34" width="20" customWidth="1"/>
    <col min="35" max="35" width="10" customWidth="1"/>
    <col min="36" max="36" width="20" customWidth="1"/>
    <col min="37" max="37" width="30" customWidth="1"/>
    <col min="38" max="43" width="20" customWidth="1"/>
    <col min="44" max="44" width="14.88671875" customWidth="1"/>
    <col min="45" max="45" width="70" customWidth="1"/>
    <col min="46" max="49" width="20" customWidth="1"/>
    <col min="50" max="50" width="10" customWidth="1"/>
    <col min="51" max="51" width="30" customWidth="1"/>
    <col min="52" max="52" width="70" customWidth="1"/>
    <col min="53" max="53" width="20" customWidth="1"/>
    <col min="54" max="54" width="70" customWidth="1"/>
    <col min="55" max="59" width="20" customWidth="1"/>
  </cols>
  <sheetData>
    <row r="1" spans="1:59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72</v>
      </c>
      <c r="O2" s="4" t="s">
        <v>73</v>
      </c>
      <c r="P2" s="4" t="s">
        <v>74</v>
      </c>
      <c r="Q2" s="4" t="s">
        <v>74</v>
      </c>
      <c r="R2" s="4" t="s">
        <v>75</v>
      </c>
      <c r="S2" s="4" t="s">
        <v>76</v>
      </c>
      <c r="T2" s="4" t="s">
        <v>74</v>
      </c>
      <c r="U2" s="4" t="s">
        <v>76</v>
      </c>
      <c r="V2" s="4" t="s">
        <v>76</v>
      </c>
      <c r="W2" s="4" t="s">
        <v>76</v>
      </c>
      <c r="X2" s="4" t="s">
        <v>77</v>
      </c>
      <c r="Y2" s="4" t="s">
        <v>75</v>
      </c>
      <c r="Z2" s="4" t="s">
        <v>77</v>
      </c>
      <c r="AA2" s="4" t="s">
        <v>76</v>
      </c>
      <c r="AB2" s="4" t="s">
        <v>76</v>
      </c>
      <c r="AC2" s="4" t="s">
        <v>76</v>
      </c>
      <c r="AD2" s="4" t="s">
        <v>61</v>
      </c>
      <c r="AE2" s="4" t="s">
        <v>76</v>
      </c>
      <c r="AF2" s="4" t="s">
        <v>76</v>
      </c>
      <c r="AG2" s="4" t="s">
        <v>76</v>
      </c>
      <c r="AH2" s="4" t="s">
        <v>76</v>
      </c>
      <c r="AI2" s="4">
        <v>45</v>
      </c>
      <c r="AJ2" s="4" t="s">
        <v>78</v>
      </c>
      <c r="AK2" s="4" t="s">
        <v>79</v>
      </c>
      <c r="AL2" s="4" t="s">
        <v>76</v>
      </c>
      <c r="AM2" s="4" t="s">
        <v>80</v>
      </c>
      <c r="AN2" s="4" t="s">
        <v>81</v>
      </c>
      <c r="AO2" s="4" t="s">
        <v>82</v>
      </c>
      <c r="AP2" s="4" t="s">
        <v>83</v>
      </c>
      <c r="AQ2" s="4" t="s">
        <v>84</v>
      </c>
      <c r="AR2" s="4" t="s">
        <v>85</v>
      </c>
      <c r="AS2" s="4" t="s">
        <v>86</v>
      </c>
      <c r="AT2" s="4" t="s">
        <v>87</v>
      </c>
      <c r="AU2" s="4" t="s">
        <v>88</v>
      </c>
      <c r="AV2" s="4" t="s">
        <v>89</v>
      </c>
      <c r="AW2" s="4" t="s">
        <v>90</v>
      </c>
      <c r="AX2" s="4" t="s">
        <v>91</v>
      </c>
      <c r="AY2" s="4" t="s">
        <v>92</v>
      </c>
      <c r="AZ2" s="4" t="s">
        <v>62</v>
      </c>
      <c r="BA2" s="4" t="s">
        <v>62</v>
      </c>
      <c r="BB2" s="4" t="s">
        <v>62</v>
      </c>
      <c r="BC2" s="4" t="s">
        <v>62</v>
      </c>
      <c r="BD2" s="4" t="s">
        <v>62</v>
      </c>
      <c r="BE2" s="4" t="s">
        <v>62</v>
      </c>
      <c r="BF2" s="4" t="s">
        <v>62</v>
      </c>
      <c r="BG2" s="4" t="s">
        <v>62</v>
      </c>
    </row>
    <row r="3" spans="1:59" ht="26.4" x14ac:dyDescent="0.3">
      <c r="A3" s="5" t="s">
        <v>95</v>
      </c>
      <c r="B3" s="5" t="s">
        <v>60</v>
      </c>
      <c r="C3" s="5" t="s">
        <v>61</v>
      </c>
      <c r="D3" s="5" t="s">
        <v>62</v>
      </c>
      <c r="E3" s="5" t="s">
        <v>96</v>
      </c>
      <c r="F3" s="5" t="s">
        <v>64</v>
      </c>
      <c r="G3" s="5" t="s">
        <v>65</v>
      </c>
      <c r="H3" s="5" t="s">
        <v>66</v>
      </c>
      <c r="I3" s="5" t="s">
        <v>97</v>
      </c>
      <c r="J3" s="5" t="s">
        <v>98</v>
      </c>
      <c r="K3" s="5" t="s">
        <v>99</v>
      </c>
      <c r="L3" s="2" t="s">
        <v>115</v>
      </c>
      <c r="M3" s="2" t="s">
        <v>116</v>
      </c>
      <c r="N3" s="2" t="s">
        <v>117</v>
      </c>
      <c r="O3" s="2" t="s">
        <v>118</v>
      </c>
      <c r="P3" s="2" t="s">
        <v>119</v>
      </c>
      <c r="Q3" s="2" t="s">
        <v>119</v>
      </c>
      <c r="R3" s="2" t="s">
        <v>75</v>
      </c>
      <c r="S3" s="2" t="s">
        <v>76</v>
      </c>
      <c r="T3" s="5" t="s">
        <v>119</v>
      </c>
      <c r="U3" s="5" t="s">
        <v>76</v>
      </c>
      <c r="V3" s="5" t="s">
        <v>76</v>
      </c>
      <c r="W3" s="5" t="s">
        <v>76</v>
      </c>
      <c r="X3" s="5" t="s">
        <v>120</v>
      </c>
      <c r="Y3" s="5" t="s">
        <v>93</v>
      </c>
      <c r="Z3" s="5" t="s">
        <v>100</v>
      </c>
      <c r="AA3" s="5" t="s">
        <v>76</v>
      </c>
      <c r="AB3" s="5" t="s">
        <v>76</v>
      </c>
      <c r="AC3" s="5" t="s">
        <v>101</v>
      </c>
      <c r="AD3" s="5" t="s">
        <v>61</v>
      </c>
      <c r="AE3" s="5" t="s">
        <v>76</v>
      </c>
      <c r="AF3" s="5" t="s">
        <v>76</v>
      </c>
      <c r="AG3" s="5" t="s">
        <v>76</v>
      </c>
      <c r="AH3" s="5" t="s">
        <v>76</v>
      </c>
      <c r="AI3" s="5">
        <f>549/2</f>
        <v>274.5</v>
      </c>
      <c r="AJ3" s="5" t="s">
        <v>102</v>
      </c>
      <c r="AK3" s="5" t="s">
        <v>103</v>
      </c>
      <c r="AL3" s="5" t="s">
        <v>76</v>
      </c>
      <c r="AM3" s="5" t="s">
        <v>104</v>
      </c>
      <c r="AN3" s="5" t="s">
        <v>105</v>
      </c>
      <c r="AO3" s="5" t="s">
        <v>106</v>
      </c>
      <c r="AP3" s="5" t="s">
        <v>107</v>
      </c>
      <c r="AQ3" s="5" t="s">
        <v>108</v>
      </c>
      <c r="AR3" s="5" t="s">
        <v>109</v>
      </c>
      <c r="AS3" s="5" t="s">
        <v>110</v>
      </c>
      <c r="AT3" s="5" t="s">
        <v>111</v>
      </c>
      <c r="AU3" s="5" t="s">
        <v>112</v>
      </c>
      <c r="AV3" s="5" t="s">
        <v>113</v>
      </c>
      <c r="AW3" s="5" t="s">
        <v>94</v>
      </c>
      <c r="AX3" s="5" t="s">
        <v>91</v>
      </c>
      <c r="AY3" s="5" t="s">
        <v>114</v>
      </c>
      <c r="AZ3" s="5" t="s">
        <v>62</v>
      </c>
      <c r="BA3" s="5" t="s">
        <v>62</v>
      </c>
      <c r="BB3" s="5" t="s">
        <v>62</v>
      </c>
      <c r="BC3" s="5" t="s">
        <v>62</v>
      </c>
      <c r="BD3" s="5" t="s">
        <v>62</v>
      </c>
      <c r="BE3" s="5" t="s">
        <v>62</v>
      </c>
      <c r="BF3" s="5" t="s">
        <v>62</v>
      </c>
      <c r="BG3" s="5" t="s">
        <v>62</v>
      </c>
    </row>
    <row r="4" spans="1:59" ht="26.4" x14ac:dyDescent="0.3">
      <c r="A4" s="2" t="s">
        <v>95</v>
      </c>
      <c r="B4" s="2" t="s">
        <v>60</v>
      </c>
      <c r="C4" s="2" t="s">
        <v>61</v>
      </c>
      <c r="D4" s="2" t="s">
        <v>62</v>
      </c>
      <c r="E4" s="2" t="s">
        <v>96</v>
      </c>
      <c r="F4" s="2" t="s">
        <v>64</v>
      </c>
      <c r="G4" s="2" t="s">
        <v>65</v>
      </c>
      <c r="H4" s="2" t="s">
        <v>66</v>
      </c>
      <c r="I4" s="2" t="s">
        <v>97</v>
      </c>
      <c r="J4" s="2" t="s">
        <v>98</v>
      </c>
      <c r="K4" s="2" t="s">
        <v>99</v>
      </c>
      <c r="L4" s="2" t="s">
        <v>121</v>
      </c>
      <c r="M4" s="2" t="s">
        <v>122</v>
      </c>
      <c r="N4" s="2" t="s">
        <v>121</v>
      </c>
      <c r="O4" s="2" t="s">
        <v>62</v>
      </c>
      <c r="P4" s="2" t="s">
        <v>123</v>
      </c>
      <c r="Q4" s="2" t="s">
        <v>123</v>
      </c>
      <c r="R4" s="2" t="s">
        <v>75</v>
      </c>
      <c r="S4" s="2" t="s">
        <v>76</v>
      </c>
      <c r="T4" s="2" t="s">
        <v>123</v>
      </c>
      <c r="U4" s="2" t="s">
        <v>76</v>
      </c>
      <c r="V4" s="2" t="s">
        <v>76</v>
      </c>
      <c r="W4" s="2" t="s">
        <v>76</v>
      </c>
      <c r="X4" s="2" t="s">
        <v>124</v>
      </c>
      <c r="Y4" s="2" t="s">
        <v>93</v>
      </c>
      <c r="Z4" s="2" t="s">
        <v>100</v>
      </c>
      <c r="AA4" s="2" t="s">
        <v>76</v>
      </c>
      <c r="AB4" s="2" t="s">
        <v>76</v>
      </c>
      <c r="AC4" s="2" t="s">
        <v>101</v>
      </c>
      <c r="AD4" s="2" t="s">
        <v>61</v>
      </c>
      <c r="AE4" s="2" t="s">
        <v>76</v>
      </c>
      <c r="AF4" s="2" t="s">
        <v>76</v>
      </c>
      <c r="AG4" s="2" t="s">
        <v>76</v>
      </c>
      <c r="AH4" s="2" t="s">
        <v>76</v>
      </c>
      <c r="AI4" s="2">
        <f>549/2</f>
        <v>274.5</v>
      </c>
      <c r="AJ4" s="2" t="s">
        <v>102</v>
      </c>
      <c r="AK4" s="2" t="s">
        <v>103</v>
      </c>
      <c r="AL4" s="2" t="s">
        <v>76</v>
      </c>
      <c r="AM4" s="2" t="s">
        <v>104</v>
      </c>
      <c r="AN4" s="2" t="s">
        <v>105</v>
      </c>
      <c r="AO4" s="2" t="s">
        <v>106</v>
      </c>
      <c r="AP4" s="2" t="s">
        <v>107</v>
      </c>
      <c r="AQ4" s="2" t="s">
        <v>108</v>
      </c>
      <c r="AR4" s="2" t="s">
        <v>109</v>
      </c>
      <c r="AS4" s="2" t="s">
        <v>110</v>
      </c>
      <c r="AT4" s="2" t="s">
        <v>111</v>
      </c>
      <c r="AU4" s="2" t="s">
        <v>112</v>
      </c>
      <c r="AV4" s="2" t="s">
        <v>113</v>
      </c>
      <c r="AW4" s="2" t="s">
        <v>94</v>
      </c>
      <c r="AX4" s="2" t="s">
        <v>91</v>
      </c>
      <c r="AY4" s="2" t="s">
        <v>114</v>
      </c>
      <c r="AZ4" s="2" t="s">
        <v>62</v>
      </c>
      <c r="BA4" s="2" t="s">
        <v>62</v>
      </c>
      <c r="BB4" s="2" t="s">
        <v>62</v>
      </c>
      <c r="BC4" s="2" t="s">
        <v>62</v>
      </c>
      <c r="BD4" s="2" t="s">
        <v>62</v>
      </c>
      <c r="BE4" s="2" t="s">
        <v>62</v>
      </c>
      <c r="BF4" s="2" t="s">
        <v>62</v>
      </c>
      <c r="BG4" s="2" t="s">
        <v>62</v>
      </c>
    </row>
    <row r="5" spans="1:5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10" spans="1:59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2025-06-22T04:06:46Z</dcterms:modified>
</cp:coreProperties>
</file>