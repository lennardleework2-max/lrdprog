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xr:revisionPtr revIDLastSave="0" documentId="8_{96B2BAA2-0AD4-F340-943A-BB374856F594}" xr6:coauthVersionLast="47" xr6:coauthVersionMax="47" xr10:uidLastSave="{00000000-0000-0000-0000-000000000000}"/>
  <bookViews>
    <workbookView xWindow="0" yWindow="0" windowWidth="16384" windowHeight="8192" tabRatio="204" activeTab="1" xr2:uid="{00000000-000D-0000-FFFF-FFFF00000000}"/>
  </bookViews>
  <sheets>
    <sheet name="Summary" sheetId="1" r:id="rId1"/>
    <sheet name="Income" sheetId="2" r:id="rId2"/>
    <sheet name="Service Fee Details" sheetId="3" r:id="rId3"/>
    <sheet name="Adjustment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" i="2" l="1"/>
  <c r="AJ5" i="2"/>
  <c r="AI5" i="2"/>
  <c r="AH5" i="2"/>
  <c r="AG5" i="2"/>
  <c r="AC5" i="2"/>
  <c r="AB5" i="2"/>
  <c r="Z5" i="2"/>
  <c r="Y5" i="2"/>
  <c r="X5" i="2"/>
  <c r="W5" i="2"/>
  <c r="V5" i="2"/>
  <c r="U5" i="2"/>
  <c r="S5" i="2"/>
  <c r="R5" i="2"/>
  <c r="Q5" i="2"/>
  <c r="P5" i="2"/>
  <c r="O5" i="2"/>
  <c r="N5" i="2"/>
  <c r="M5" i="2"/>
  <c r="L5" i="2"/>
  <c r="K5" i="2"/>
  <c r="J5" i="2"/>
  <c r="I5" i="2"/>
</calcChain>
</file>

<file path=xl/sharedStrings.xml><?xml version="1.0" encoding="utf-8"?>
<sst xmlns="http://schemas.openxmlformats.org/spreadsheetml/2006/main" count="892" uniqueCount="277">
  <si>
    <t>Income Report</t>
  </si>
  <si>
    <t>Report Details</t>
  </si>
  <si>
    <t>Username (Seller)</t>
  </si>
  <si>
    <t>ryumotoroneph</t>
  </si>
  <si>
    <t>From</t>
  </si>
  <si>
    <t>2025-06-16</t>
  </si>
  <si>
    <t>to</t>
  </si>
  <si>
    <t>2025-06-22</t>
  </si>
  <si>
    <t>The Seller will be responsible for any modifications made to the data in the exported file.</t>
  </si>
  <si>
    <t>Income Summary</t>
  </si>
  <si>
    <t>₱</t>
  </si>
  <si>
    <t>1. Total Revenue</t>
  </si>
  <si>
    <t>Merchandise Subtotal</t>
  </si>
  <si>
    <t>Original Product Price</t>
  </si>
  <si>
    <t>Seller Product Promotion</t>
  </si>
  <si>
    <t>Refund Amount</t>
  </si>
  <si>
    <t>Voucher &amp; Rebates</t>
  </si>
  <si>
    <t>Rebate Provided by Shopee</t>
  </si>
  <si>
    <t>Voucher Sponsored by Seller</t>
  </si>
  <si>
    <t>Coin Cashback Sponsored by Seller</t>
  </si>
  <si>
    <t>2. Total Expenses</t>
  </si>
  <si>
    <t>Shipping Subtotal</t>
  </si>
  <si>
    <t>Buyer Paid Shipping Fee</t>
  </si>
  <si>
    <t>Shipping Fee Discount from 3PL</t>
  </si>
  <si>
    <t>Shipping Fee Rebate From Shopee</t>
  </si>
  <si>
    <t>3rd Party Logistics - Defined Shipping Fee</t>
  </si>
  <si>
    <t>Reverse Shipping Fee</t>
  </si>
  <si>
    <t>Shipping Fee Support Program Savings</t>
  </si>
  <si>
    <t>Fees &amp; Charges</t>
  </si>
  <si>
    <t>AMS Commission Fee</t>
  </si>
  <si>
    <t>Commission fee</t>
  </si>
  <si>
    <t>Service Fee</t>
  </si>
  <si>
    <t>Support Program Fee</t>
  </si>
  <si>
    <t>Transaction Fee</t>
  </si>
  <si>
    <t>Withholding Tax</t>
  </si>
  <si>
    <t>3. Total Released Amount</t>
  </si>
  <si>
    <t>Other Reference Values</t>
  </si>
  <si>
    <t>Shipping Fee Promotion by Seller</t>
  </si>
  <si>
    <t>subtotal(₱)</t>
  </si>
  <si>
    <t>Sequence No.</t>
  </si>
  <si>
    <t>Order ID</t>
  </si>
  <si>
    <t>Refund ID</t>
  </si>
  <si>
    <t>Username (Buyer)</t>
  </si>
  <si>
    <t>Order Creation Date</t>
  </si>
  <si>
    <t>Buyer Payment Method</t>
  </si>
  <si>
    <t>Hot Listing</t>
  </si>
  <si>
    <t>Payout Completed Date</t>
  </si>
  <si>
    <t>Total Released Amount (₱)</t>
  </si>
  <si>
    <t>Seller Voucher Code</t>
  </si>
  <si>
    <t>Lost Compensation</t>
  </si>
  <si>
    <t>Shipping Provider</t>
  </si>
  <si>
    <t>Courier Name</t>
  </si>
  <si>
    <t>Cash refund to buyer amount</t>
  </si>
  <si>
    <t>Pro-rated coin offset for return refund Items</t>
  </si>
  <si>
    <t>Pro-rated Shopee voucher offset for returned items</t>
  </si>
  <si>
    <t>Pro-rated Bank Payment Channel Promotion  for return refund Items</t>
  </si>
  <si>
    <t>Pro-rated Shopee Payment Channel Promotion  for return refund Items</t>
  </si>
  <si>
    <t>250531BP6ME3YC</t>
  </si>
  <si>
    <t>johnmarkginez358</t>
  </si>
  <si>
    <t>2025-05-31</t>
  </si>
  <si>
    <t>Cash on Delivery</t>
  </si>
  <si>
    <t>NO</t>
  </si>
  <si>
    <t>Standard Local</t>
  </si>
  <si>
    <t>Flash Express</t>
  </si>
  <si>
    <t>250606S2KPNCD2</t>
  </si>
  <si>
    <t>michaeljamesalbay</t>
  </si>
  <si>
    <t>2025-06-06</t>
  </si>
  <si>
    <t>SPX Express</t>
  </si>
  <si>
    <t>250601CFG29W8T</t>
  </si>
  <si>
    <t>pongdelacruz31</t>
  </si>
  <si>
    <t>2025-06-01</t>
  </si>
  <si>
    <t>250601DKPXUPEB</t>
  </si>
  <si>
    <t>ok8rminwke</t>
  </si>
  <si>
    <t>250601DBSEXF4G</t>
  </si>
  <si>
    <t>jocelyn.labastida</t>
  </si>
  <si>
    <t>250531BQRJUNWF</t>
  </si>
  <si>
    <t>alvinor0314</t>
  </si>
  <si>
    <t>250601CK4QUS3E</t>
  </si>
  <si>
    <t>marvin291</t>
  </si>
  <si>
    <t>250602GEG6VJ5E</t>
  </si>
  <si>
    <t>rendonlegaspi</t>
  </si>
  <si>
    <t>2025-06-02</t>
  </si>
  <si>
    <t>SPayLater</t>
  </si>
  <si>
    <t>2505307CQ1A20C</t>
  </si>
  <si>
    <t>sdmamogkat</t>
  </si>
  <si>
    <t>2025-05-30</t>
  </si>
  <si>
    <t>250606TECPV2YP</t>
  </si>
  <si>
    <t>ckcariaga</t>
  </si>
  <si>
    <t>250607UJPF09VW</t>
  </si>
  <si>
    <t>jkenth_26</t>
  </si>
  <si>
    <t>2025-06-07</t>
  </si>
  <si>
    <t>250602EX2X1XNX</t>
  </si>
  <si>
    <t>elmerelnas</t>
  </si>
  <si>
    <t>J&amp;T Express</t>
  </si>
  <si>
    <t>250607V5MHVSTB</t>
  </si>
  <si>
    <t>labangcoroy</t>
  </si>
  <si>
    <t>ShopeePay Balance</t>
  </si>
  <si>
    <t>250607V17PTJWE</t>
  </si>
  <si>
    <t>alerion0810</t>
  </si>
  <si>
    <t>250606TEKN381T</t>
  </si>
  <si>
    <t>jrsioc</t>
  </si>
  <si>
    <t>250606SKYJJDMK</t>
  </si>
  <si>
    <t>mcandreiteves</t>
  </si>
  <si>
    <t>250607UXTD1TH5</t>
  </si>
  <si>
    <t>tinadeleon060810</t>
  </si>
  <si>
    <t>2025-06-17</t>
  </si>
  <si>
    <t>250531BP0E33DR</t>
  </si>
  <si>
    <t>250526TPMW60BB</t>
  </si>
  <si>
    <t>wahabsolaiman</t>
  </si>
  <si>
    <t>2025-05-26</t>
  </si>
  <si>
    <t>250602FMMVUVUW</t>
  </si>
  <si>
    <t>peterpaulburgos</t>
  </si>
  <si>
    <t>250603HRF67HUW</t>
  </si>
  <si>
    <t>jeredpuzon698</t>
  </si>
  <si>
    <t>2025-06-03</t>
  </si>
  <si>
    <t>2506081UCBA8CX</t>
  </si>
  <si>
    <t>markbarbacena582</t>
  </si>
  <si>
    <t>2025-06-08</t>
  </si>
  <si>
    <t>250606SJ83TKX2</t>
  </si>
  <si>
    <t>zetalouie</t>
  </si>
  <si>
    <t>250601D3XTHJMU</t>
  </si>
  <si>
    <t>5_jr1437yp</t>
  </si>
  <si>
    <t>2506092UU0QBY0</t>
  </si>
  <si>
    <t>aj_cez</t>
  </si>
  <si>
    <t>2025-06-09</t>
  </si>
  <si>
    <t>250602F9XKUF9T</t>
  </si>
  <si>
    <t>daturanz10</t>
  </si>
  <si>
    <t>250603K8QHQ2U2</t>
  </si>
  <si>
    <t>parkjohn322</t>
  </si>
  <si>
    <t>250605QN4JHUK9</t>
  </si>
  <si>
    <t>charliepayaoan</t>
  </si>
  <si>
    <t>2025-06-05</t>
  </si>
  <si>
    <t>250529692YHASQ</t>
  </si>
  <si>
    <t>rueldelacruzsomiyaya</t>
  </si>
  <si>
    <t>2025-05-29</t>
  </si>
  <si>
    <t>2025-06-18</t>
  </si>
  <si>
    <t>250606SXVMY8N4</t>
  </si>
  <si>
    <t>josephdayot530</t>
  </si>
  <si>
    <t>250606SAQJNV26</t>
  </si>
  <si>
    <t>2ul_a75nyw</t>
  </si>
  <si>
    <t>2506081W2SKDE3</t>
  </si>
  <si>
    <t>peterpauladvento</t>
  </si>
  <si>
    <t>2505294A71X20C</t>
  </si>
  <si>
    <t>gnaiso10</t>
  </si>
  <si>
    <t>2506082PU81S9X</t>
  </si>
  <si>
    <t>rachzaq</t>
  </si>
  <si>
    <t>2506094MRAKW7A</t>
  </si>
  <si>
    <t>jakecuenca87</t>
  </si>
  <si>
    <t>250603JY3GEDQQ</t>
  </si>
  <si>
    <t>nmhj34tenr</t>
  </si>
  <si>
    <t>250606T3SJ309X</t>
  </si>
  <si>
    <t>crislorenzfrancia</t>
  </si>
  <si>
    <t>250525RQCNQ9K8</t>
  </si>
  <si>
    <t>deguzmaneddie</t>
  </si>
  <si>
    <t>2025-05-25</t>
  </si>
  <si>
    <t>250606SHSVWYUN</t>
  </si>
  <si>
    <t>crisaldobolinggo</t>
  </si>
  <si>
    <t>2506094J5AKU26</t>
  </si>
  <si>
    <t>kalikomotovblog</t>
  </si>
  <si>
    <t>250522H7PEJMRR</t>
  </si>
  <si>
    <t>warrentan550</t>
  </si>
  <si>
    <t>2025-05-22</t>
  </si>
  <si>
    <t>25060945A7NMPE</t>
  </si>
  <si>
    <t>markjoshuareyes494</t>
  </si>
  <si>
    <t>250531BKXFM269</t>
  </si>
  <si>
    <t>samerlumambas411</t>
  </si>
  <si>
    <t>250604N39JKDUW</t>
  </si>
  <si>
    <t>ronkeating.26</t>
  </si>
  <si>
    <t>2025-06-04</t>
  </si>
  <si>
    <t>250602GGTTSTDC</t>
  </si>
  <si>
    <t>rollynjayrendula</t>
  </si>
  <si>
    <t>2506106G7AGXW7</t>
  </si>
  <si>
    <t>bessapostolpelayo</t>
  </si>
  <si>
    <t>2025-06-10</t>
  </si>
  <si>
    <t>250602GAWSQ6SF</t>
  </si>
  <si>
    <t>jaspercalanza957</t>
  </si>
  <si>
    <t>2506105DAQ8DWQ</t>
  </si>
  <si>
    <t>martypesito</t>
  </si>
  <si>
    <t>Credit / Debit Card</t>
  </si>
  <si>
    <t>250526T8TRF8SG</t>
  </si>
  <si>
    <t>mariambatara</t>
  </si>
  <si>
    <t>250601E19WR345</t>
  </si>
  <si>
    <t>oscarcotaping</t>
  </si>
  <si>
    <t>250607VYWYW2KG</t>
  </si>
  <si>
    <t>09w465x41b</t>
  </si>
  <si>
    <t>2506094DR37F7C</t>
  </si>
  <si>
    <t>tanolamad</t>
  </si>
  <si>
    <t>2025-06-19</t>
  </si>
  <si>
    <t>2505308AP2HSW3</t>
  </si>
  <si>
    <t>rachelleanncarioralaranj</t>
  </si>
  <si>
    <t>2506094WSMWN91</t>
  </si>
  <si>
    <t>glennmaninang11</t>
  </si>
  <si>
    <t>250610781EV674</t>
  </si>
  <si>
    <t>5hy8f43uih</t>
  </si>
  <si>
    <t>250604NF38GKYS</t>
  </si>
  <si>
    <t>usedata359</t>
  </si>
  <si>
    <t>250607UKU15STW</t>
  </si>
  <si>
    <t>reagantemporosa</t>
  </si>
  <si>
    <t>250605QS0X7B2H</t>
  </si>
  <si>
    <t>datuizinkamsa</t>
  </si>
  <si>
    <t>250607VYTHA440</t>
  </si>
  <si>
    <t>johnmartin453</t>
  </si>
  <si>
    <t>2506106Q2C2C01</t>
  </si>
  <si>
    <t>beejaymaglalang</t>
  </si>
  <si>
    <t>25060952QXSH92</t>
  </si>
  <si>
    <t>louiseanne9</t>
  </si>
  <si>
    <t>2506119CESQHV3</t>
  </si>
  <si>
    <t>ranzz3030</t>
  </si>
  <si>
    <t>2025-06-11</t>
  </si>
  <si>
    <t>2025-06-20</t>
  </si>
  <si>
    <t>2506118NCWPH51</t>
  </si>
  <si>
    <t>lz0e520o99</t>
  </si>
  <si>
    <t>250605QCGT7R1Y</t>
  </si>
  <si>
    <t>jonathannadela</t>
  </si>
  <si>
    <t>2506118J8HMVXX</t>
  </si>
  <si>
    <t>carloscatallo</t>
  </si>
  <si>
    <t>2506106U1177S1</t>
  </si>
  <si>
    <t>jeglotilla</t>
  </si>
  <si>
    <t>2506094EK46Y4A</t>
  </si>
  <si>
    <t>markanthonycapinpin935</t>
  </si>
  <si>
    <t>2506080DGX9DS4</t>
  </si>
  <si>
    <t>wangbijoemar</t>
  </si>
  <si>
    <t>2506106Q0VCYT0</t>
  </si>
  <si>
    <t>kingronaldhuertas</t>
  </si>
  <si>
    <t>2505282NKC1H9E</t>
  </si>
  <si>
    <t>enzoalano283</t>
  </si>
  <si>
    <t>2025-05-28</t>
  </si>
  <si>
    <t>2025-06-21</t>
  </si>
  <si>
    <t>250606SVW8FXHM</t>
  </si>
  <si>
    <t>rpphr5kczd</t>
  </si>
  <si>
    <t>250605RC8328HJ</t>
  </si>
  <si>
    <t>alfredrodriguez144</t>
  </si>
  <si>
    <t>250605R1BEX1YS</t>
  </si>
  <si>
    <t>8dlbl1a229</t>
  </si>
  <si>
    <t>250612B8B9N39D</t>
  </si>
  <si>
    <t>erwinreyes039</t>
  </si>
  <si>
    <t>2025-06-12</t>
  </si>
  <si>
    <t>250605Q3XGJCXC</t>
  </si>
  <si>
    <t>yasserlumagan</t>
  </si>
  <si>
    <t>250605QFVC0T78</t>
  </si>
  <si>
    <t>mairah327</t>
  </si>
  <si>
    <t>250530921KN0E8</t>
  </si>
  <si>
    <t>alshabaralah</t>
  </si>
  <si>
    <t>250611A3HUUCGG</t>
  </si>
  <si>
    <t>paningasanjecel</t>
  </si>
  <si>
    <t>2506107HGBYT2K</t>
  </si>
  <si>
    <t>jeffrycinco166</t>
  </si>
  <si>
    <t>250613CYPCKRGR</t>
  </si>
  <si>
    <t>bhenj0929</t>
  </si>
  <si>
    <t>2025-06-13</t>
  </si>
  <si>
    <t>2505296EM6XRPT</t>
  </si>
  <si>
    <t>popeeworks</t>
  </si>
  <si>
    <t>250605R1FNF1MW</t>
  </si>
  <si>
    <t>250613E73UNTKQ</t>
  </si>
  <si>
    <t>jhunlagaticjove</t>
  </si>
  <si>
    <t>250613DYTEHXQ0</t>
  </si>
  <si>
    <t>yujininfante</t>
  </si>
  <si>
    <t>250607VWT77YHY</t>
  </si>
  <si>
    <t>gabrielramirez684</t>
  </si>
  <si>
    <t>250612BUUTT817</t>
  </si>
  <si>
    <t>abhmerchandise2018</t>
  </si>
  <si>
    <t>2506094RM47Q96</t>
  </si>
  <si>
    <t>alfiesalabia</t>
  </si>
  <si>
    <t>C2C Platform Shipping Fee 4.48%</t>
  </si>
  <si>
    <t>C2C Platform Shipping Fee 5.6%</t>
  </si>
  <si>
    <t>Note:
1) All adjustments paid during period (Please note that only adjustments made after 1 Jan 2022 will be provided here)
2) All adjustments completed in this settlement period may be linked to past released orders or to-be-released orders, refer to the associated Order No. for more details</t>
  </si>
  <si>
    <t>Summary of Order Adjustment</t>
  </si>
  <si>
    <t>Total Adjustment Amount</t>
  </si>
  <si>
    <t>Logistic Issue Adjustment/Compensation</t>
  </si>
  <si>
    <t>Details of Adjustment Transaction List</t>
  </si>
  <si>
    <t>Adjustment Complete Date</t>
  </si>
  <si>
    <t>Adjustment Type | Description</t>
  </si>
  <si>
    <t>Adjustment Reason</t>
  </si>
  <si>
    <t>Adjustment Amount</t>
  </si>
  <si>
    <t>Linked Order No.</t>
  </si>
  <si>
    <t>2505174EM9C0ET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</si>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</sst>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Arial"/>
      <family val="2"/>
    </font>
    <font>
      <sz val="10"/>
      <name val="Arial"/>
    </font>
    <font>
      <b/>
      <sz val="15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0F0F0"/>
      </patternFill>
    </fill>
    <fill>
      <patternFill patternType="solid">
        <fgColor rgb="FFFF6600"/>
        <bgColor rgb="FFFF6600"/>
      </patternFill>
    </fill>
    <fill>
      <patternFill patternType="solid">
        <fgColor rgb="FFA5A5A5"/>
      </patternFill>
    </fill>
    <fill>
      <patternFill patternType="solid">
        <fgColor rgb="FFE7E6E6"/>
      </patternFill>
    </fill>
    <fill>
      <patternFill patternType="solid">
        <fgColor rgb="FFA5A5A5"/>
        <bgColor rgb="FF000000"/>
      </patternFill>
    </fill>
    <fill>
      <patternFill patternType="solid">
        <fgColor rgb="FFB3B3B3"/>
        <bgColor rgb="FFB3B3B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Font="1" applyBorder="1"/>
    <xf numFmtId="0" fontId="1" fillId="0" borderId="0" xfId="0" applyFont="1"/>
    <xf numFmtId="0" fontId="5" fillId="3" borderId="2" xfId="0" applyFont="1" applyFill="1" applyBorder="1" applyAlignment="1">
      <alignment wrapText="1"/>
    </xf>
    <xf numFmtId="0" fontId="6" fillId="0" borderId="2" xfId="0" applyFont="1" applyBorder="1"/>
    <xf numFmtId="0" fontId="7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5" fillId="0" borderId="1" xfId="0" applyFont="1" applyBorder="1"/>
    <xf numFmtId="0" fontId="8" fillId="7" borderId="1" xfId="0" applyFont="1" applyFill="1" applyBorder="1"/>
    <xf numFmtId="0" fontId="5" fillId="6" borderId="1" xfId="0" applyFont="1" applyFill="1" applyBorder="1"/>
    <xf numFmtId="0" fontId="10" fillId="0" borderId="1" xfId="0" applyFont="1" applyBorder="1"/>
    <xf numFmtId="0" fontId="5" fillId="0" borderId="1" xfId="0" applyFont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8" fillId="5" borderId="3" xfId="0" applyFont="1" applyFill="1" applyBorder="1" applyAlignment="1">
      <alignment horizontal="left"/>
    </xf>
    <xf numFmtId="0" fontId="8" fillId="5" borderId="3" xfId="0" applyFont="1" applyFill="1" applyBorder="1"/>
    <xf numFmtId="0" fontId="8" fillId="0" borderId="1" xfId="0" applyFont="1" applyBorder="1" applyAlignment="1"/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2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/>
    <xf numFmtId="0" fontId="8" fillId="7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1123950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zoomScaleNormal="100" workbookViewId="0"/>
  </sheetViews>
  <sheetFormatPr defaultColWidth="24.9453125" defaultRowHeight="14.25" x14ac:dyDescent="0.15"/>
  <cols>
    <col min="1" max="4" width="24.9453125" style="2" customWidth="1"/>
    <col min="5" max="16384" width="24.9453125" style="1"/>
  </cols>
  <sheetData>
    <row r="1" spans="1:4" ht="17.25" customHeight="1" x14ac:dyDescent="0.15">
      <c r="A1" s="21" t="s">
        <v>0</v>
      </c>
      <c r="B1" s="22"/>
      <c r="C1" s="22"/>
      <c r="D1" s="22"/>
    </row>
    <row r="2" spans="1:4" x14ac:dyDescent="0.15">
      <c r="A2" s="22"/>
      <c r="B2" s="22"/>
      <c r="C2" s="22"/>
      <c r="D2" s="22"/>
    </row>
    <row r="3" spans="1:4" x14ac:dyDescent="0.15">
      <c r="A3" s="22"/>
      <c r="B3" s="22"/>
      <c r="C3" s="22"/>
      <c r="D3" s="22"/>
    </row>
    <row r="4" spans="1:4" x14ac:dyDescent="0.15">
      <c r="A4" s="22"/>
      <c r="B4" s="22"/>
      <c r="C4" s="22"/>
      <c r="D4" s="22"/>
    </row>
    <row r="5" spans="1:4" ht="18" customHeight="1" x14ac:dyDescent="0.2">
      <c r="A5" s="23" t="s">
        <v>1</v>
      </c>
      <c r="B5" s="23"/>
      <c r="C5" s="23"/>
      <c r="D5" s="23"/>
    </row>
    <row r="6" spans="1:4" ht="15.6" customHeight="1" x14ac:dyDescent="0.15">
      <c r="A6" s="3" t="s">
        <v>2</v>
      </c>
      <c r="B6" s="24" t="s">
        <v>3</v>
      </c>
      <c r="C6" s="24"/>
      <c r="D6" s="24"/>
    </row>
    <row r="7" spans="1:4" ht="15.6" customHeight="1" x14ac:dyDescent="0.15">
      <c r="A7" s="3" t="s">
        <v>4</v>
      </c>
      <c r="B7" s="24" t="s">
        <v>5</v>
      </c>
      <c r="C7" s="24"/>
      <c r="D7" s="24"/>
    </row>
    <row r="8" spans="1:4" ht="15.6" customHeight="1" x14ac:dyDescent="0.15">
      <c r="A8" s="3" t="s">
        <v>6</v>
      </c>
      <c r="B8" s="24" t="s">
        <v>7</v>
      </c>
      <c r="C8" s="24"/>
      <c r="D8" s="24"/>
    </row>
    <row r="9" spans="1:4" ht="15" x14ac:dyDescent="0.2">
      <c r="A9" s="4" t="s">
        <v>8</v>
      </c>
      <c r="B9" s="5"/>
      <c r="C9" s="5"/>
      <c r="D9" s="5"/>
    </row>
    <row r="10" spans="1:4" ht="18" customHeight="1" x14ac:dyDescent="0.2">
      <c r="A10" s="25" t="s">
        <v>9</v>
      </c>
      <c r="B10" s="25"/>
      <c r="C10" s="25"/>
      <c r="D10" s="6" t="s">
        <v>10</v>
      </c>
    </row>
    <row r="11" spans="1:4" x14ac:dyDescent="0.15">
      <c r="A11" s="26" t="s">
        <v>11</v>
      </c>
      <c r="B11" s="26"/>
      <c r="C11" s="26"/>
      <c r="D11" s="7">
        <v>67150</v>
      </c>
    </row>
    <row r="12" spans="1:4" x14ac:dyDescent="0.15">
      <c r="A12" s="27" t="s">
        <v>12</v>
      </c>
      <c r="B12" s="27"/>
      <c r="C12" s="27"/>
      <c r="D12" s="8">
        <v>67150</v>
      </c>
    </row>
    <row r="13" spans="1:4" x14ac:dyDescent="0.15">
      <c r="A13" s="9"/>
      <c r="B13" s="9" t="s">
        <v>13</v>
      </c>
      <c r="C13" s="9">
        <v>68024</v>
      </c>
      <c r="D13" s="9"/>
    </row>
    <row r="14" spans="1:4" x14ac:dyDescent="0.15">
      <c r="A14" s="9"/>
      <c r="B14" s="9" t="s">
        <v>14</v>
      </c>
      <c r="C14" s="9">
        <v>-874</v>
      </c>
      <c r="D14" s="9"/>
    </row>
    <row r="15" spans="1:4" x14ac:dyDescent="0.15">
      <c r="A15" s="9"/>
      <c r="B15" s="9" t="s">
        <v>15</v>
      </c>
      <c r="C15" s="9">
        <v>0</v>
      </c>
      <c r="D15" s="9"/>
    </row>
    <row r="16" spans="1:4" x14ac:dyDescent="0.15">
      <c r="A16" s="9"/>
      <c r="B16" s="9"/>
      <c r="C16" s="9"/>
      <c r="D16" s="9"/>
    </row>
    <row r="17" spans="1:4" x14ac:dyDescent="0.15">
      <c r="A17" s="27" t="s">
        <v>16</v>
      </c>
      <c r="B17" s="27"/>
      <c r="C17" s="27"/>
      <c r="D17" s="8">
        <v>0</v>
      </c>
    </row>
    <row r="18" spans="1:4" x14ac:dyDescent="0.15">
      <c r="A18" s="9"/>
      <c r="B18" s="9" t="s">
        <v>17</v>
      </c>
      <c r="C18" s="9">
        <v>0</v>
      </c>
      <c r="D18" s="9"/>
    </row>
    <row r="19" spans="1:4" x14ac:dyDescent="0.15">
      <c r="A19" s="9"/>
      <c r="B19" s="9" t="s">
        <v>18</v>
      </c>
      <c r="C19" s="9">
        <v>0</v>
      </c>
      <c r="D19" s="9"/>
    </row>
    <row r="20" spans="1:4" x14ac:dyDescent="0.15">
      <c r="A20" s="9"/>
      <c r="B20" s="9" t="s">
        <v>19</v>
      </c>
      <c r="C20" s="9">
        <v>0</v>
      </c>
      <c r="D20" s="9"/>
    </row>
    <row r="21" spans="1:4" x14ac:dyDescent="0.15">
      <c r="B21" s="9"/>
      <c r="C21" s="9"/>
      <c r="D21" s="9"/>
    </row>
    <row r="22" spans="1:4" x14ac:dyDescent="0.15">
      <c r="A22" s="26" t="s">
        <v>20</v>
      </c>
      <c r="B22" s="26"/>
      <c r="C22" s="26"/>
      <c r="D22" s="7">
        <v>-5296</v>
      </c>
    </row>
    <row r="23" spans="1:4" x14ac:dyDescent="0.15">
      <c r="A23" s="27" t="s">
        <v>21</v>
      </c>
      <c r="B23" s="27"/>
      <c r="C23" s="27"/>
      <c r="D23" s="8">
        <v>0</v>
      </c>
    </row>
    <row r="24" spans="1:4" x14ac:dyDescent="0.15">
      <c r="A24" s="9"/>
      <c r="B24" s="9" t="s">
        <v>22</v>
      </c>
      <c r="C24" s="9">
        <v>1283</v>
      </c>
      <c r="D24" s="9"/>
    </row>
    <row r="25" spans="1:4" x14ac:dyDescent="0.15">
      <c r="A25" s="9"/>
      <c r="B25" s="9" t="s">
        <v>23</v>
      </c>
      <c r="C25" s="9">
        <v>0</v>
      </c>
      <c r="D25" s="9"/>
    </row>
    <row r="26" spans="1:4" x14ac:dyDescent="0.15">
      <c r="A26" s="9"/>
      <c r="B26" s="9" t="s">
        <v>24</v>
      </c>
      <c r="C26" s="9">
        <v>7922</v>
      </c>
      <c r="D26" s="9"/>
    </row>
    <row r="27" spans="1:4" x14ac:dyDescent="0.15">
      <c r="A27" s="9"/>
      <c r="B27" s="9" t="s">
        <v>25</v>
      </c>
      <c r="C27" s="9">
        <v>-9205</v>
      </c>
      <c r="D27" s="9"/>
    </row>
    <row r="28" spans="1:4" x14ac:dyDescent="0.15">
      <c r="A28" s="9"/>
      <c r="B28" s="9" t="s">
        <v>26</v>
      </c>
      <c r="C28" s="9">
        <v>0</v>
      </c>
      <c r="D28" s="9"/>
    </row>
    <row r="29" spans="1:4" x14ac:dyDescent="0.15">
      <c r="A29" s="9"/>
      <c r="B29" s="9" t="s">
        <v>27</v>
      </c>
      <c r="C29" s="9">
        <v>0</v>
      </c>
      <c r="D29" s="9"/>
    </row>
    <row r="30" spans="1:4" x14ac:dyDescent="0.15">
      <c r="A30" s="9"/>
      <c r="B30" s="9"/>
      <c r="C30" s="9"/>
      <c r="D30" s="9"/>
    </row>
    <row r="31" spans="1:4" x14ac:dyDescent="0.15">
      <c r="A31" s="27" t="s">
        <v>28</v>
      </c>
      <c r="B31" s="27"/>
      <c r="C31" s="27"/>
      <c r="D31" s="8">
        <v>-5296</v>
      </c>
    </row>
    <row r="32" spans="1:4" x14ac:dyDescent="0.15">
      <c r="A32" s="9"/>
      <c r="B32" s="9" t="s">
        <v>29</v>
      </c>
      <c r="C32" s="9">
        <v>-120</v>
      </c>
      <c r="D32" s="9"/>
    </row>
    <row r="33" spans="1:4" x14ac:dyDescent="0.15">
      <c r="A33" s="9"/>
      <c r="B33" s="9" t="s">
        <v>30</v>
      </c>
      <c r="C33" s="9">
        <v>0</v>
      </c>
      <c r="D33" s="9"/>
    </row>
    <row r="34" spans="1:4" x14ac:dyDescent="0.15">
      <c r="A34" s="9"/>
      <c r="B34" s="9" t="s">
        <v>31</v>
      </c>
      <c r="C34" s="9">
        <v>-3640</v>
      </c>
      <c r="D34" s="9"/>
    </row>
    <row r="35" spans="1:4" x14ac:dyDescent="0.15">
      <c r="A35" s="9"/>
      <c r="B35" s="9" t="s">
        <v>32</v>
      </c>
      <c r="C35" s="9">
        <v>0</v>
      </c>
      <c r="D35" s="9"/>
    </row>
    <row r="36" spans="1:4" x14ac:dyDescent="0.15">
      <c r="A36" s="9"/>
      <c r="B36" s="9" t="s">
        <v>33</v>
      </c>
      <c r="C36" s="9">
        <v>-1536</v>
      </c>
      <c r="D36" s="9"/>
    </row>
    <row r="37" spans="1:4" x14ac:dyDescent="0.15">
      <c r="A37" s="9"/>
      <c r="B37" s="9" t="s">
        <v>34</v>
      </c>
      <c r="C37" s="9">
        <v>0</v>
      </c>
      <c r="D37" s="9"/>
    </row>
    <row r="38" spans="1:4" x14ac:dyDescent="0.15">
      <c r="A38" s="9"/>
      <c r="B38" s="9"/>
      <c r="C38" s="9"/>
      <c r="D38" s="9"/>
    </row>
    <row r="39" spans="1:4" x14ac:dyDescent="0.15">
      <c r="A39" s="9"/>
      <c r="B39" s="9"/>
      <c r="C39" s="9"/>
      <c r="D39" s="9"/>
    </row>
    <row r="40" spans="1:4" x14ac:dyDescent="0.15">
      <c r="B40" s="9"/>
      <c r="C40" s="9"/>
      <c r="D40" s="9"/>
    </row>
    <row r="42" spans="1:4" x14ac:dyDescent="0.15">
      <c r="A42" s="28" t="s">
        <v>35</v>
      </c>
      <c r="B42" s="28"/>
      <c r="C42" s="28"/>
      <c r="D42" s="10">
        <v>61854</v>
      </c>
    </row>
    <row r="43" spans="1:4" x14ac:dyDescent="0.15">
      <c r="A43" s="1"/>
    </row>
    <row r="44" spans="1:4" x14ac:dyDescent="0.15">
      <c r="A44" s="28" t="s">
        <v>36</v>
      </c>
      <c r="B44" s="28"/>
      <c r="C44" s="28"/>
      <c r="D44" s="28"/>
    </row>
    <row r="45" spans="1:4" x14ac:dyDescent="0.15">
      <c r="A45" s="29" t="s">
        <v>37</v>
      </c>
      <c r="B45" s="29"/>
      <c r="C45" s="29"/>
      <c r="D45" s="11">
        <v>0</v>
      </c>
    </row>
    <row r="46" spans="1:4" ht="12.95" customHeight="1" x14ac:dyDescent="0.15">
      <c r="A46" s="12"/>
    </row>
    <row r="47" spans="1:4" x14ac:dyDescent="0.15">
      <c r="A47" s="9"/>
      <c r="B47" s="12"/>
      <c r="C47" s="12"/>
      <c r="D47" s="12"/>
    </row>
    <row r="48" spans="1:4" x14ac:dyDescent="0.15">
      <c r="A48" s="12"/>
      <c r="B48" s="9"/>
      <c r="C48" s="9"/>
      <c r="D48" s="9"/>
    </row>
    <row r="49" spans="1:4" x14ac:dyDescent="0.15">
      <c r="A49" s="9"/>
      <c r="B49" s="9"/>
      <c r="C49" s="9"/>
      <c r="D49" s="9"/>
    </row>
    <row r="50" spans="1:4" x14ac:dyDescent="0.15">
      <c r="A50" s="9"/>
      <c r="B50" s="9"/>
      <c r="C50" s="9"/>
      <c r="D50" s="9"/>
    </row>
    <row r="51" spans="1:4" x14ac:dyDescent="0.15">
      <c r="A51" s="9"/>
      <c r="B51" s="9"/>
      <c r="C51" s="9"/>
      <c r="D51" s="9"/>
    </row>
    <row r="52" spans="1:4" x14ac:dyDescent="0.15">
      <c r="A52" s="9"/>
      <c r="B52" s="9"/>
      <c r="C52" s="9"/>
      <c r="D52" s="9"/>
    </row>
    <row r="53" spans="1:4" x14ac:dyDescent="0.15">
      <c r="A53" s="9"/>
      <c r="B53" s="9"/>
      <c r="C53" s="9"/>
      <c r="D53" s="9"/>
    </row>
    <row r="54" spans="1:4" x14ac:dyDescent="0.15">
      <c r="A54" s="9"/>
      <c r="B54" s="9"/>
      <c r="C54" s="9"/>
      <c r="D54" s="9"/>
    </row>
    <row r="55" spans="1:4" x14ac:dyDescent="0.15">
      <c r="A55" s="9"/>
      <c r="B55" s="9"/>
      <c r="C55" s="9"/>
      <c r="D55" s="9"/>
    </row>
    <row r="56" spans="1:4" x14ac:dyDescent="0.15">
      <c r="A56" s="9"/>
      <c r="B56" s="9"/>
      <c r="C56" s="9"/>
      <c r="D56" s="9"/>
    </row>
    <row r="57" spans="1:4" x14ac:dyDescent="0.15">
      <c r="A57" s="9"/>
      <c r="B57" s="9"/>
      <c r="C57" s="9"/>
      <c r="D57" s="9"/>
    </row>
    <row r="58" spans="1:4" x14ac:dyDescent="0.15">
      <c r="A58" s="9"/>
      <c r="B58" s="9"/>
      <c r="C58" s="9"/>
      <c r="D58" s="9"/>
    </row>
    <row r="59" spans="1:4" x14ac:dyDescent="0.15">
      <c r="A59" s="9"/>
      <c r="B59" s="12"/>
      <c r="C59" s="12"/>
      <c r="D59" s="12"/>
    </row>
    <row r="60" spans="1:4" x14ac:dyDescent="0.15">
      <c r="A60" s="12"/>
      <c r="B60" s="9"/>
      <c r="C60" s="9"/>
      <c r="D60" s="9"/>
    </row>
    <row r="61" spans="1:4" x14ac:dyDescent="0.15">
      <c r="A61" s="9"/>
      <c r="B61" s="9"/>
      <c r="C61" s="9"/>
      <c r="D61" s="9"/>
    </row>
    <row r="62" spans="1:4" x14ac:dyDescent="0.15">
      <c r="A62" s="9"/>
      <c r="B62" s="9"/>
      <c r="C62" s="9"/>
      <c r="D62" s="9"/>
    </row>
    <row r="63" spans="1:4" x14ac:dyDescent="0.15">
      <c r="A63" s="9"/>
      <c r="B63" s="12"/>
      <c r="C63" s="12"/>
      <c r="D63" s="9"/>
    </row>
    <row r="64" spans="1:4" x14ac:dyDescent="0.15">
      <c r="A64" s="12"/>
      <c r="B64" s="12"/>
      <c r="C64" s="12"/>
      <c r="D64" s="12"/>
    </row>
    <row r="65" spans="1:4" x14ac:dyDescent="0.15">
      <c r="A65" s="12"/>
      <c r="B65" s="9"/>
      <c r="C65" s="9"/>
      <c r="D65" s="9"/>
    </row>
    <row r="66" spans="1:4" x14ac:dyDescent="0.15">
      <c r="A66" s="9"/>
      <c r="B66" s="9"/>
      <c r="C66" s="9"/>
      <c r="D66" s="9"/>
    </row>
    <row r="67" spans="1:4" x14ac:dyDescent="0.15">
      <c r="A67" s="9"/>
      <c r="B67" s="9"/>
      <c r="C67" s="9"/>
      <c r="D67" s="9"/>
    </row>
    <row r="68" spans="1:4" x14ac:dyDescent="0.15">
      <c r="A68" s="9"/>
      <c r="B68" s="9"/>
      <c r="C68" s="9"/>
      <c r="D68" s="9"/>
    </row>
    <row r="69" spans="1:4" x14ac:dyDescent="0.15">
      <c r="A69" s="9"/>
      <c r="B69" s="12"/>
      <c r="C69" s="12"/>
      <c r="D69" s="12"/>
    </row>
    <row r="70" spans="1:4" x14ac:dyDescent="0.15">
      <c r="A70" s="12"/>
      <c r="B70" s="9"/>
      <c r="C70" s="9"/>
      <c r="D70" s="9"/>
    </row>
    <row r="71" spans="1:4" x14ac:dyDescent="0.15">
      <c r="A71" s="9"/>
      <c r="B71" s="9"/>
      <c r="C71" s="9"/>
      <c r="D71" s="9"/>
    </row>
    <row r="72" spans="1:4" x14ac:dyDescent="0.15">
      <c r="A72" s="9"/>
      <c r="B72" s="9"/>
      <c r="C72" s="9"/>
      <c r="D72" s="9"/>
    </row>
    <row r="73" spans="1:4" x14ac:dyDescent="0.15">
      <c r="A73" s="9"/>
      <c r="B73" s="9"/>
      <c r="C73" s="9"/>
      <c r="D73" s="9"/>
    </row>
    <row r="74" spans="1:4" x14ac:dyDescent="0.15">
      <c r="A74" s="9"/>
      <c r="B74" s="12"/>
      <c r="C74" s="12"/>
      <c r="D74" s="12"/>
    </row>
    <row r="75" spans="1:4" x14ac:dyDescent="0.15">
      <c r="A75" s="12"/>
      <c r="B75" s="9"/>
      <c r="C75" s="9"/>
      <c r="D75" s="9"/>
    </row>
    <row r="76" spans="1:4" x14ac:dyDescent="0.15">
      <c r="A76" s="9"/>
      <c r="B76" s="9"/>
      <c r="C76" s="9"/>
      <c r="D76" s="9"/>
    </row>
    <row r="77" spans="1:4" x14ac:dyDescent="0.15">
      <c r="A77" s="9"/>
      <c r="B77" s="9"/>
      <c r="C77" s="9"/>
      <c r="D77" s="9"/>
    </row>
    <row r="78" spans="1:4" x14ac:dyDescent="0.15">
      <c r="A78" s="9"/>
      <c r="B78" s="12"/>
      <c r="C78" s="12"/>
      <c r="D78" s="12"/>
    </row>
    <row r="79" spans="1:4" x14ac:dyDescent="0.15">
      <c r="A79" s="12"/>
      <c r="B79" s="9"/>
      <c r="C79" s="9"/>
      <c r="D79" s="9"/>
    </row>
    <row r="80" spans="1:4" x14ac:dyDescent="0.15">
      <c r="A80" s="9"/>
      <c r="B80" s="12"/>
      <c r="C80" s="12"/>
      <c r="D80" s="12"/>
    </row>
    <row r="81" spans="1:4" x14ac:dyDescent="0.15">
      <c r="A81" s="12"/>
      <c r="B81" s="9"/>
      <c r="C81" s="9"/>
      <c r="D81" s="9"/>
    </row>
    <row r="82" spans="1:4" x14ac:dyDescent="0.15">
      <c r="A82" s="9"/>
      <c r="B82" s="12"/>
      <c r="C82" s="12"/>
      <c r="D82" s="12"/>
    </row>
    <row r="83" spans="1:4" x14ac:dyDescent="0.15">
      <c r="A83" s="12"/>
      <c r="B83" s="9"/>
      <c r="C83" s="9"/>
      <c r="D83" s="9"/>
    </row>
    <row r="84" spans="1:4" x14ac:dyDescent="0.15">
      <c r="A84" s="9"/>
      <c r="B84" s="12"/>
      <c r="C84" s="12"/>
      <c r="D84" s="12"/>
    </row>
    <row r="85" spans="1:4" x14ac:dyDescent="0.15">
      <c r="A85" s="12"/>
      <c r="B85" s="9"/>
      <c r="C85" s="9"/>
      <c r="D85" s="9"/>
    </row>
    <row r="86" spans="1:4" x14ac:dyDescent="0.15">
      <c r="A86" s="9"/>
      <c r="B86" s="9"/>
      <c r="C86" s="9"/>
      <c r="D86" s="9"/>
    </row>
    <row r="87" spans="1:4" x14ac:dyDescent="0.15">
      <c r="A87" s="9"/>
      <c r="B87" s="9"/>
      <c r="C87" s="9"/>
      <c r="D87" s="9"/>
    </row>
    <row r="88" spans="1:4" x14ac:dyDescent="0.15">
      <c r="A88" s="9"/>
    </row>
  </sheetData>
  <mergeCells count="15">
    <mergeCell ref="A23:C23"/>
    <mergeCell ref="A31:C31"/>
    <mergeCell ref="A42:C42"/>
    <mergeCell ref="A44:D44"/>
    <mergeCell ref="A45:C45"/>
    <mergeCell ref="A10:C10"/>
    <mergeCell ref="A11:C11"/>
    <mergeCell ref="A12:C12"/>
    <mergeCell ref="A17:C17"/>
    <mergeCell ref="A22:C22"/>
    <mergeCell ref="A1:D4"/>
    <mergeCell ref="A5:D5"/>
    <mergeCell ref="B6:D6"/>
    <mergeCell ref="B7:D7"/>
    <mergeCell ref="B8:D8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3"/>
  <sheetViews>
    <sheetView tabSelected="1" zoomScaleNormal="100" workbookViewId="0"/>
  </sheetViews>
  <sheetFormatPr defaultRowHeight="14.25" x14ac:dyDescent="0.15"/>
  <cols>
    <col min="1" max="1" width="10" customWidth="1"/>
    <col min="2" max="37" width="10" style="2" customWidth="1"/>
  </cols>
  <sheetData>
    <row r="1" spans="1:37" x14ac:dyDescent="0.15">
      <c r="A1" s="9" t="s">
        <v>2</v>
      </c>
      <c r="B1" s="9" t="s">
        <v>4</v>
      </c>
      <c r="C1" s="9" t="s">
        <v>6</v>
      </c>
    </row>
    <row r="2" spans="1:37" x14ac:dyDescent="0.15">
      <c r="A2" s="9" t="s">
        <v>3</v>
      </c>
      <c r="B2" s="9" t="s">
        <v>5</v>
      </c>
      <c r="C2" s="9" t="s">
        <v>7</v>
      </c>
    </row>
    <row r="3" spans="1:37" x14ac:dyDescent="0.15">
      <c r="A3" s="9"/>
    </row>
    <row r="5" spans="1:37" x14ac:dyDescent="0.15">
      <c r="A5" s="13" t="s">
        <v>38</v>
      </c>
      <c r="B5" s="13"/>
      <c r="C5" s="13"/>
      <c r="D5" s="13"/>
      <c r="E5" s="13"/>
      <c r="F5" s="13"/>
      <c r="G5" s="13"/>
      <c r="H5" s="13"/>
      <c r="I5" s="13">
        <f ca="1">SUM(INDIRECT(ADDRESS(6,9)):INDIRECT(ADDRESS(1048576,9)))</f>
        <v>68024</v>
      </c>
      <c r="J5" s="13">
        <f ca="1">SUM(INDIRECT(ADDRESS(6,10)):INDIRECT(ADDRESS(1048576,10)))</f>
        <v>-874</v>
      </c>
      <c r="K5" s="13">
        <f ca="1">SUM(INDIRECT(ADDRESS(6,11)):INDIRECT(ADDRESS(1048576,11)))</f>
        <v>0</v>
      </c>
      <c r="L5" s="13">
        <f ca="1">SUM(INDIRECT(ADDRESS(6,12)):INDIRECT(ADDRESS(1048576,12)))</f>
        <v>0</v>
      </c>
      <c r="M5" s="13">
        <f ca="1">SUM(INDIRECT(ADDRESS(6,13)):INDIRECT(ADDRESS(1048576,13)))</f>
        <v>0</v>
      </c>
      <c r="N5" s="13">
        <f ca="1">SUM(INDIRECT(ADDRESS(6,14)):INDIRECT(ADDRESS(1048576,14)))</f>
        <v>0</v>
      </c>
      <c r="O5" s="13">
        <f ca="1">SUM(INDIRECT(ADDRESS(6,15)):INDIRECT(ADDRESS(1048576,15)))</f>
        <v>1283</v>
      </c>
      <c r="P5" s="13">
        <f ca="1">SUM(INDIRECT(ADDRESS(6,16)):INDIRECT(ADDRESS(1048576,16)))</f>
        <v>7922</v>
      </c>
      <c r="Q5" s="13">
        <f ca="1">SUM(INDIRECT(ADDRESS(6,17)):INDIRECT(ADDRESS(1048576,17)))</f>
        <v>-9205</v>
      </c>
      <c r="R5" s="13">
        <f ca="1">SUM(INDIRECT(ADDRESS(6,18)):INDIRECT(ADDRESS(1048576,18)))</f>
        <v>0</v>
      </c>
      <c r="S5" s="13">
        <f ca="1">SUM(INDIRECT(ADDRESS(6,19)):INDIRECT(ADDRESS(1048576,19)))</f>
        <v>0</v>
      </c>
      <c r="T5" s="13"/>
      <c r="U5" s="13">
        <f ca="1">SUM(INDIRECT(ADDRESS(6,21)):INDIRECT(ADDRESS(1048576,21)))</f>
        <v>0</v>
      </c>
      <c r="V5" s="13">
        <f ca="1">SUM(INDIRECT(ADDRESS(6,22)):INDIRECT(ADDRESS(1048576,22)))</f>
        <v>-3640</v>
      </c>
      <c r="W5" s="13">
        <f ca="1">SUM(INDIRECT(ADDRESS(6,23)):INDIRECT(ADDRESS(1048576,23)))</f>
        <v>0</v>
      </c>
      <c r="X5" s="13">
        <f ca="1">SUM(INDIRECT(ADDRESS(6,24)):INDIRECT(ADDRESS(1048576,24)))</f>
        <v>-1536</v>
      </c>
      <c r="Y5" s="13">
        <f ca="1">SUM(INDIRECT(ADDRESS(6,25)):INDIRECT(ADDRESS(1048576,25)))</f>
        <v>0</v>
      </c>
      <c r="Z5" s="13">
        <f ca="1">SUM(INDIRECT(ADDRESS(6,26)):INDIRECT(ADDRESS(1048576,26)))</f>
        <v>61854</v>
      </c>
      <c r="AA5" s="13"/>
      <c r="AB5" s="13">
        <f ca="1">SUM(INDIRECT(ADDRESS(6,28)):INDIRECT(ADDRESS(1048576,28)))</f>
        <v>0</v>
      </c>
      <c r="AC5" s="13">
        <f ca="1">SUM(INDIRECT(ADDRESS(6,29)):INDIRECT(ADDRESS(1048576,29)))</f>
        <v>0</v>
      </c>
      <c r="AD5" s="13"/>
      <c r="AE5" s="13"/>
      <c r="AF5" s="13"/>
      <c r="AG5" s="13">
        <f ca="1">SUM(INDIRECT(ADDRESS(6,33)):INDIRECT(ADDRESS(1048576,33)))</f>
        <v>0</v>
      </c>
      <c r="AH5" s="13">
        <f ca="1">SUM(INDIRECT(ADDRESS(6,34)):INDIRECT(ADDRESS(1048576,34)))</f>
        <v>0</v>
      </c>
      <c r="AI5" s="13">
        <f ca="1">SUM(INDIRECT(ADDRESS(6,35)):INDIRECT(ADDRESS(1048576,35)))</f>
        <v>0</v>
      </c>
      <c r="AJ5" s="13">
        <f ca="1">SUM(INDIRECT(ADDRESS(6,36)):INDIRECT(ADDRESS(1048576,36)))</f>
        <v>0</v>
      </c>
      <c r="AK5" s="13">
        <f ca="1">SUM(INDIRECT(ADDRESS(6,37)):INDIRECT(ADDRESS(1048576,37)))</f>
        <v>0</v>
      </c>
    </row>
    <row r="6" spans="1:37" x14ac:dyDescent="0.15">
      <c r="A6" s="13" t="s">
        <v>39</v>
      </c>
      <c r="B6" s="13" t="s">
        <v>40</v>
      </c>
      <c r="C6" s="13" t="s">
        <v>41</v>
      </c>
      <c r="D6" s="13" t="s">
        <v>42</v>
      </c>
      <c r="E6" s="13" t="s">
        <v>43</v>
      </c>
      <c r="F6" s="13" t="s">
        <v>44</v>
      </c>
      <c r="G6" s="13" t="s">
        <v>45</v>
      </c>
      <c r="H6" s="13" t="s">
        <v>46</v>
      </c>
      <c r="I6" s="13" t="s">
        <v>13</v>
      </c>
      <c r="J6" s="13" t="s">
        <v>14</v>
      </c>
      <c r="K6" s="13" t="s">
        <v>15</v>
      </c>
      <c r="L6" s="13" t="s">
        <v>17</v>
      </c>
      <c r="M6" s="13" t="s">
        <v>18</v>
      </c>
      <c r="N6" s="13" t="s">
        <v>19</v>
      </c>
      <c r="O6" s="13" t="s">
        <v>22</v>
      </c>
      <c r="P6" s="13" t="s">
        <v>24</v>
      </c>
      <c r="Q6" s="13" t="s">
        <v>25</v>
      </c>
      <c r="R6" s="13" t="s">
        <v>26</v>
      </c>
      <c r="S6" s="13" t="s">
        <v>27</v>
      </c>
      <c r="T6" s="13" t="s">
        <v>29</v>
      </c>
      <c r="U6" s="13" t="s">
        <v>30</v>
      </c>
      <c r="V6" s="13" t="s">
        <v>31</v>
      </c>
      <c r="W6" s="13" t="s">
        <v>32</v>
      </c>
      <c r="X6" s="13" t="s">
        <v>33</v>
      </c>
      <c r="Y6" s="13" t="s">
        <v>34</v>
      </c>
      <c r="Z6" s="13" t="s">
        <v>47</v>
      </c>
      <c r="AA6" s="13" t="s">
        <v>48</v>
      </c>
      <c r="AB6" s="13" t="s">
        <v>49</v>
      </c>
      <c r="AC6" s="13" t="s">
        <v>37</v>
      </c>
      <c r="AD6" s="13" t="s">
        <v>50</v>
      </c>
      <c r="AE6" s="13" t="s">
        <v>51</v>
      </c>
      <c r="AF6" s="13"/>
      <c r="AG6" s="13" t="s">
        <v>52</v>
      </c>
      <c r="AH6" s="13" t="s">
        <v>53</v>
      </c>
      <c r="AI6" s="13" t="s">
        <v>54</v>
      </c>
      <c r="AJ6" s="13" t="s">
        <v>55</v>
      </c>
      <c r="AK6" s="13" t="s">
        <v>56</v>
      </c>
    </row>
    <row r="7" spans="1:37" x14ac:dyDescent="0.15">
      <c r="A7" s="13">
        <v>1</v>
      </c>
      <c r="B7" s="13" t="s">
        <v>57</v>
      </c>
      <c r="C7" s="13"/>
      <c r="D7" s="13" t="s">
        <v>58</v>
      </c>
      <c r="E7" s="13" t="s">
        <v>59</v>
      </c>
      <c r="F7" s="13" t="s">
        <v>60</v>
      </c>
      <c r="G7" s="13" t="s">
        <v>61</v>
      </c>
      <c r="H7" s="13" t="s">
        <v>5</v>
      </c>
      <c r="I7" s="13">
        <v>320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105</v>
      </c>
      <c r="P7" s="13">
        <v>35</v>
      </c>
      <c r="Q7" s="13">
        <v>-140</v>
      </c>
      <c r="R7" s="13">
        <v>0</v>
      </c>
      <c r="S7" s="13">
        <v>0</v>
      </c>
      <c r="T7" s="13">
        <v>0</v>
      </c>
      <c r="U7" s="13">
        <v>0</v>
      </c>
      <c r="V7" s="13">
        <v>-14</v>
      </c>
      <c r="W7" s="13">
        <v>0</v>
      </c>
      <c r="X7" s="13">
        <v>-10</v>
      </c>
      <c r="Y7" s="13">
        <v>0</v>
      </c>
      <c r="Z7" s="13">
        <v>296</v>
      </c>
      <c r="AA7" s="13"/>
      <c r="AB7" s="13">
        <v>0</v>
      </c>
      <c r="AC7" s="13">
        <v>0</v>
      </c>
      <c r="AD7" s="13" t="s">
        <v>62</v>
      </c>
      <c r="AE7" s="13" t="s">
        <v>63</v>
      </c>
      <c r="AF7" s="13"/>
      <c r="AG7" s="13">
        <v>0</v>
      </c>
      <c r="AH7" s="13">
        <v>0</v>
      </c>
      <c r="AI7" s="13">
        <v>0</v>
      </c>
      <c r="AJ7" s="13">
        <v>0</v>
      </c>
      <c r="AK7" s="13">
        <v>0</v>
      </c>
    </row>
    <row r="8" spans="1:37" x14ac:dyDescent="0.15">
      <c r="A8" s="13">
        <v>2</v>
      </c>
      <c r="B8" s="13" t="s">
        <v>64</v>
      </c>
      <c r="C8" s="13"/>
      <c r="D8" s="13" t="s">
        <v>65</v>
      </c>
      <c r="E8" s="13" t="s">
        <v>66</v>
      </c>
      <c r="F8" s="13" t="s">
        <v>60</v>
      </c>
      <c r="G8" s="13" t="s">
        <v>61</v>
      </c>
      <c r="H8" s="13" t="s">
        <v>5</v>
      </c>
      <c r="I8" s="13">
        <v>450</v>
      </c>
      <c r="J8" s="13">
        <v>-23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58</v>
      </c>
      <c r="Q8" s="13">
        <v>-58</v>
      </c>
      <c r="R8" s="13">
        <v>0</v>
      </c>
      <c r="S8" s="13">
        <v>0</v>
      </c>
      <c r="T8" s="13">
        <v>0</v>
      </c>
      <c r="U8" s="13">
        <v>0</v>
      </c>
      <c r="V8" s="13">
        <v>-24</v>
      </c>
      <c r="W8" s="13">
        <v>0</v>
      </c>
      <c r="X8" s="13">
        <v>-10</v>
      </c>
      <c r="Y8" s="13">
        <v>0</v>
      </c>
      <c r="Z8" s="13">
        <v>393</v>
      </c>
      <c r="AA8" s="13"/>
      <c r="AB8" s="13">
        <v>0</v>
      </c>
      <c r="AC8" s="13">
        <v>0</v>
      </c>
      <c r="AD8" s="13" t="s">
        <v>62</v>
      </c>
      <c r="AE8" s="13" t="s">
        <v>67</v>
      </c>
      <c r="AF8" s="13"/>
      <c r="AG8" s="13">
        <v>0</v>
      </c>
      <c r="AH8" s="13">
        <v>0</v>
      </c>
      <c r="AI8" s="13">
        <v>0</v>
      </c>
      <c r="AJ8" s="13">
        <v>0</v>
      </c>
      <c r="AK8" s="13">
        <v>0</v>
      </c>
    </row>
    <row r="9" spans="1:37" x14ac:dyDescent="0.15">
      <c r="A9" s="13">
        <v>3</v>
      </c>
      <c r="B9" s="13" t="s">
        <v>68</v>
      </c>
      <c r="C9" s="13"/>
      <c r="D9" s="13" t="s">
        <v>69</v>
      </c>
      <c r="E9" s="13" t="s">
        <v>70</v>
      </c>
      <c r="F9" s="13" t="s">
        <v>60</v>
      </c>
      <c r="G9" s="13" t="s">
        <v>61</v>
      </c>
      <c r="H9" s="13" t="s">
        <v>5</v>
      </c>
      <c r="I9" s="13">
        <v>300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20</v>
      </c>
      <c r="P9" s="13">
        <v>120</v>
      </c>
      <c r="Q9" s="13">
        <v>-140</v>
      </c>
      <c r="R9" s="13">
        <v>0</v>
      </c>
      <c r="S9" s="13">
        <v>0</v>
      </c>
      <c r="T9" s="13">
        <v>0</v>
      </c>
      <c r="U9" s="13">
        <v>0</v>
      </c>
      <c r="V9" s="13">
        <v>-17</v>
      </c>
      <c r="W9" s="13">
        <v>0</v>
      </c>
      <c r="X9" s="13">
        <v>-7</v>
      </c>
      <c r="Y9" s="13">
        <v>0</v>
      </c>
      <c r="Z9" s="13">
        <v>276</v>
      </c>
      <c r="AA9" s="13"/>
      <c r="AB9" s="13">
        <v>0</v>
      </c>
      <c r="AC9" s="13">
        <v>0</v>
      </c>
      <c r="AD9" s="13" t="s">
        <v>62</v>
      </c>
      <c r="AE9" s="13" t="s">
        <v>63</v>
      </c>
      <c r="AF9" s="13"/>
      <c r="AG9" s="13">
        <v>0</v>
      </c>
      <c r="AH9" s="13">
        <v>0</v>
      </c>
      <c r="AI9" s="13">
        <v>0</v>
      </c>
      <c r="AJ9" s="13">
        <v>0</v>
      </c>
      <c r="AK9" s="13">
        <v>0</v>
      </c>
    </row>
    <row r="10" spans="1:37" x14ac:dyDescent="0.15">
      <c r="A10" s="13">
        <v>4</v>
      </c>
      <c r="B10" s="13" t="s">
        <v>71</v>
      </c>
      <c r="C10" s="13"/>
      <c r="D10" s="13" t="s">
        <v>72</v>
      </c>
      <c r="E10" s="13" t="s">
        <v>70</v>
      </c>
      <c r="F10" s="13" t="s">
        <v>60</v>
      </c>
      <c r="G10" s="13" t="s">
        <v>61</v>
      </c>
      <c r="H10" s="13" t="s">
        <v>5</v>
      </c>
      <c r="I10" s="13">
        <v>640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16</v>
      </c>
      <c r="P10" s="13">
        <v>130</v>
      </c>
      <c r="Q10" s="13">
        <v>-146</v>
      </c>
      <c r="R10" s="13">
        <v>0</v>
      </c>
      <c r="S10" s="13">
        <v>0</v>
      </c>
      <c r="T10" s="13">
        <v>0</v>
      </c>
      <c r="U10" s="13">
        <v>0</v>
      </c>
      <c r="V10" s="13">
        <v>-36</v>
      </c>
      <c r="W10" s="13">
        <v>0</v>
      </c>
      <c r="X10" s="13">
        <v>-15</v>
      </c>
      <c r="Y10" s="13">
        <v>0</v>
      </c>
      <c r="Z10" s="13">
        <v>589</v>
      </c>
      <c r="AA10" s="13"/>
      <c r="AB10" s="13">
        <v>0</v>
      </c>
      <c r="AC10" s="13">
        <v>0</v>
      </c>
      <c r="AD10" s="13" t="s">
        <v>62</v>
      </c>
      <c r="AE10" s="13" t="s">
        <v>67</v>
      </c>
      <c r="AF10" s="13"/>
      <c r="AG10" s="13">
        <v>0</v>
      </c>
      <c r="AH10" s="13">
        <v>0</v>
      </c>
      <c r="AI10" s="13">
        <v>0</v>
      </c>
      <c r="AJ10" s="13">
        <v>0</v>
      </c>
      <c r="AK10" s="13">
        <v>0</v>
      </c>
    </row>
    <row r="11" spans="1:37" x14ac:dyDescent="0.15">
      <c r="A11" s="13">
        <v>5</v>
      </c>
      <c r="B11" s="13" t="s">
        <v>73</v>
      </c>
      <c r="C11" s="13"/>
      <c r="D11" s="13" t="s">
        <v>74</v>
      </c>
      <c r="E11" s="13" t="s">
        <v>70</v>
      </c>
      <c r="F11" s="13" t="s">
        <v>60</v>
      </c>
      <c r="G11" s="13" t="s">
        <v>61</v>
      </c>
      <c r="H11" s="13" t="s">
        <v>5</v>
      </c>
      <c r="I11" s="13">
        <v>320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10</v>
      </c>
      <c r="P11" s="13">
        <v>115</v>
      </c>
      <c r="Q11" s="13">
        <v>-125</v>
      </c>
      <c r="R11" s="13">
        <v>0</v>
      </c>
      <c r="S11" s="13">
        <v>0</v>
      </c>
      <c r="T11" s="13">
        <v>0</v>
      </c>
      <c r="U11" s="13">
        <v>0</v>
      </c>
      <c r="V11" s="13">
        <v>-18</v>
      </c>
      <c r="W11" s="13">
        <v>0</v>
      </c>
      <c r="X11" s="13">
        <v>-7</v>
      </c>
      <c r="Y11" s="13">
        <v>0</v>
      </c>
      <c r="Z11" s="13">
        <v>295</v>
      </c>
      <c r="AA11" s="13"/>
      <c r="AB11" s="13">
        <v>0</v>
      </c>
      <c r="AC11" s="13">
        <v>0</v>
      </c>
      <c r="AD11" s="13" t="s">
        <v>62</v>
      </c>
      <c r="AE11" s="13" t="s">
        <v>63</v>
      </c>
      <c r="AF11" s="13"/>
      <c r="AG11" s="13">
        <v>0</v>
      </c>
      <c r="AH11" s="13">
        <v>0</v>
      </c>
      <c r="AI11" s="13">
        <v>0</v>
      </c>
      <c r="AJ11" s="13">
        <v>0</v>
      </c>
      <c r="AK11" s="13">
        <v>0</v>
      </c>
    </row>
    <row r="12" spans="1:37" x14ac:dyDescent="0.15">
      <c r="A12" s="13">
        <v>6</v>
      </c>
      <c r="B12" s="13" t="s">
        <v>75</v>
      </c>
      <c r="C12" s="13"/>
      <c r="D12" s="13" t="s">
        <v>76</v>
      </c>
      <c r="E12" s="13" t="s">
        <v>59</v>
      </c>
      <c r="F12" s="13" t="s">
        <v>60</v>
      </c>
      <c r="G12" s="13" t="s">
        <v>61</v>
      </c>
      <c r="H12" s="13" t="s">
        <v>5</v>
      </c>
      <c r="I12" s="13">
        <v>1500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146</v>
      </c>
      <c r="Q12" s="13">
        <v>-146</v>
      </c>
      <c r="R12" s="13">
        <v>0</v>
      </c>
      <c r="S12" s="13">
        <v>0</v>
      </c>
      <c r="T12" s="13">
        <v>0</v>
      </c>
      <c r="U12" s="13">
        <v>0</v>
      </c>
      <c r="V12" s="13">
        <v>-67</v>
      </c>
      <c r="W12" s="13">
        <v>0</v>
      </c>
      <c r="X12" s="13">
        <v>-34</v>
      </c>
      <c r="Y12" s="13">
        <v>0</v>
      </c>
      <c r="Z12" s="13">
        <v>1399</v>
      </c>
      <c r="AA12" s="13"/>
      <c r="AB12" s="13">
        <v>0</v>
      </c>
      <c r="AC12" s="13">
        <v>0</v>
      </c>
      <c r="AD12" s="13" t="s">
        <v>62</v>
      </c>
      <c r="AE12" s="13" t="s">
        <v>67</v>
      </c>
      <c r="AF12" s="13"/>
      <c r="AG12" s="13">
        <v>0</v>
      </c>
      <c r="AH12" s="13">
        <v>0</v>
      </c>
      <c r="AI12" s="13">
        <v>0</v>
      </c>
      <c r="AJ12" s="13">
        <v>0</v>
      </c>
      <c r="AK12" s="13">
        <v>0</v>
      </c>
    </row>
    <row r="13" spans="1:37" x14ac:dyDescent="0.15">
      <c r="A13" s="13">
        <v>7</v>
      </c>
      <c r="B13" s="13" t="s">
        <v>77</v>
      </c>
      <c r="C13" s="13"/>
      <c r="D13" s="13" t="s">
        <v>78</v>
      </c>
      <c r="E13" s="13" t="s">
        <v>70</v>
      </c>
      <c r="F13" s="13" t="s">
        <v>60</v>
      </c>
      <c r="G13" s="13" t="s">
        <v>61</v>
      </c>
      <c r="H13" s="13" t="s">
        <v>5</v>
      </c>
      <c r="I13" s="13">
        <v>320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10</v>
      </c>
      <c r="P13" s="13">
        <v>115</v>
      </c>
      <c r="Q13" s="13">
        <v>-125</v>
      </c>
      <c r="R13" s="13">
        <v>0</v>
      </c>
      <c r="S13" s="13">
        <v>0</v>
      </c>
      <c r="T13" s="13">
        <v>0</v>
      </c>
      <c r="U13" s="13">
        <v>0</v>
      </c>
      <c r="V13" s="13">
        <v>-18</v>
      </c>
      <c r="W13" s="13">
        <v>0</v>
      </c>
      <c r="X13" s="13">
        <v>-7</v>
      </c>
      <c r="Y13" s="13">
        <v>0</v>
      </c>
      <c r="Z13" s="13">
        <v>295</v>
      </c>
      <c r="AA13" s="13"/>
      <c r="AB13" s="13">
        <v>0</v>
      </c>
      <c r="AC13" s="13">
        <v>0</v>
      </c>
      <c r="AD13" s="13" t="s">
        <v>62</v>
      </c>
      <c r="AE13" s="13" t="s">
        <v>63</v>
      </c>
      <c r="AF13" s="13"/>
      <c r="AG13" s="13">
        <v>0</v>
      </c>
      <c r="AH13" s="13">
        <v>0</v>
      </c>
      <c r="AI13" s="13">
        <v>0</v>
      </c>
      <c r="AJ13" s="13">
        <v>0</v>
      </c>
      <c r="AK13" s="13">
        <v>0</v>
      </c>
    </row>
    <row r="14" spans="1:37" x14ac:dyDescent="0.15">
      <c r="A14" s="13">
        <v>8</v>
      </c>
      <c r="B14" s="13" t="s">
        <v>79</v>
      </c>
      <c r="C14" s="13"/>
      <c r="D14" s="13" t="s">
        <v>80</v>
      </c>
      <c r="E14" s="13" t="s">
        <v>81</v>
      </c>
      <c r="F14" s="13" t="s">
        <v>82</v>
      </c>
      <c r="G14" s="13" t="s">
        <v>61</v>
      </c>
      <c r="H14" s="13" t="s">
        <v>5</v>
      </c>
      <c r="I14" s="13">
        <v>1700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140</v>
      </c>
      <c r="Q14" s="13">
        <v>-140</v>
      </c>
      <c r="R14" s="13">
        <v>0</v>
      </c>
      <c r="S14" s="13">
        <v>0</v>
      </c>
      <c r="T14" s="13">
        <v>0</v>
      </c>
      <c r="U14" s="13">
        <v>0</v>
      </c>
      <c r="V14" s="13">
        <v>-95</v>
      </c>
      <c r="W14" s="13">
        <v>0</v>
      </c>
      <c r="X14" s="13">
        <v>-38</v>
      </c>
      <c r="Y14" s="13">
        <v>0</v>
      </c>
      <c r="Z14" s="13">
        <v>1567</v>
      </c>
      <c r="AA14" s="13"/>
      <c r="AB14" s="13">
        <v>0</v>
      </c>
      <c r="AC14" s="13">
        <v>0</v>
      </c>
      <c r="AD14" s="13" t="s">
        <v>62</v>
      </c>
      <c r="AE14" s="13" t="s">
        <v>63</v>
      </c>
      <c r="AF14" s="13"/>
      <c r="AG14" s="13">
        <v>0</v>
      </c>
      <c r="AH14" s="13">
        <v>0</v>
      </c>
      <c r="AI14" s="13">
        <v>0</v>
      </c>
      <c r="AJ14" s="13">
        <v>0</v>
      </c>
      <c r="AK14" s="13">
        <v>0</v>
      </c>
    </row>
    <row r="15" spans="1:37" x14ac:dyDescent="0.15">
      <c r="A15" s="13">
        <v>9</v>
      </c>
      <c r="B15" s="13" t="s">
        <v>83</v>
      </c>
      <c r="C15" s="13"/>
      <c r="D15" s="13" t="s">
        <v>84</v>
      </c>
      <c r="E15" s="13" t="s">
        <v>85</v>
      </c>
      <c r="F15" s="13" t="s">
        <v>60</v>
      </c>
      <c r="G15" s="13" t="s">
        <v>61</v>
      </c>
      <c r="H15" s="13" t="s">
        <v>5</v>
      </c>
      <c r="I15" s="13">
        <v>320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20</v>
      </c>
      <c r="P15" s="13">
        <v>120</v>
      </c>
      <c r="Q15" s="13">
        <v>-140</v>
      </c>
      <c r="R15" s="13">
        <v>0</v>
      </c>
      <c r="S15" s="13">
        <v>0</v>
      </c>
      <c r="T15" s="13">
        <v>0</v>
      </c>
      <c r="U15" s="13">
        <v>0</v>
      </c>
      <c r="V15" s="13">
        <v>-14</v>
      </c>
      <c r="W15" s="13">
        <v>0</v>
      </c>
      <c r="X15" s="13">
        <v>-8</v>
      </c>
      <c r="Y15" s="13">
        <v>0</v>
      </c>
      <c r="Z15" s="13">
        <v>298</v>
      </c>
      <c r="AA15" s="13"/>
      <c r="AB15" s="13">
        <v>0</v>
      </c>
      <c r="AC15" s="13">
        <v>0</v>
      </c>
      <c r="AD15" s="13" t="s">
        <v>62</v>
      </c>
      <c r="AE15" s="13" t="s">
        <v>67</v>
      </c>
      <c r="AF15" s="13"/>
      <c r="AG15" s="13">
        <v>0</v>
      </c>
      <c r="AH15" s="13">
        <v>0</v>
      </c>
      <c r="AI15" s="13">
        <v>0</v>
      </c>
      <c r="AJ15" s="13">
        <v>0</v>
      </c>
      <c r="AK15" s="13">
        <v>0</v>
      </c>
    </row>
    <row r="16" spans="1:37" x14ac:dyDescent="0.15">
      <c r="A16" s="13">
        <v>10</v>
      </c>
      <c r="B16" s="13" t="s">
        <v>86</v>
      </c>
      <c r="C16" s="13"/>
      <c r="D16" s="13" t="s">
        <v>87</v>
      </c>
      <c r="E16" s="13" t="s">
        <v>66</v>
      </c>
      <c r="F16" s="13" t="s">
        <v>60</v>
      </c>
      <c r="G16" s="13" t="s">
        <v>61</v>
      </c>
      <c r="H16" s="13" t="s">
        <v>5</v>
      </c>
      <c r="I16" s="13">
        <v>1700</v>
      </c>
      <c r="J16" s="13">
        <v>-85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95</v>
      </c>
      <c r="Q16" s="13">
        <v>-95</v>
      </c>
      <c r="R16" s="13">
        <v>0</v>
      </c>
      <c r="S16" s="13">
        <v>0</v>
      </c>
      <c r="T16" s="13">
        <v>0</v>
      </c>
      <c r="U16" s="13">
        <v>0</v>
      </c>
      <c r="V16" s="13">
        <v>-90</v>
      </c>
      <c r="W16" s="13">
        <v>0</v>
      </c>
      <c r="X16" s="13">
        <v>-36</v>
      </c>
      <c r="Y16" s="13">
        <v>0</v>
      </c>
      <c r="Z16" s="13">
        <v>1489</v>
      </c>
      <c r="AA16" s="13"/>
      <c r="AB16" s="13">
        <v>0</v>
      </c>
      <c r="AC16" s="13">
        <v>0</v>
      </c>
      <c r="AD16" s="13" t="s">
        <v>62</v>
      </c>
      <c r="AE16" s="13" t="s">
        <v>67</v>
      </c>
      <c r="AF16" s="13"/>
      <c r="AG16" s="13">
        <v>0</v>
      </c>
      <c r="AH16" s="13">
        <v>0</v>
      </c>
      <c r="AI16" s="13">
        <v>0</v>
      </c>
      <c r="AJ16" s="13">
        <v>0</v>
      </c>
      <c r="AK16" s="13">
        <v>0</v>
      </c>
    </row>
    <row r="17" spans="1:37" x14ac:dyDescent="0.15">
      <c r="A17" s="13">
        <v>11</v>
      </c>
      <c r="B17" s="13" t="s">
        <v>88</v>
      </c>
      <c r="C17" s="13"/>
      <c r="D17" s="13" t="s">
        <v>89</v>
      </c>
      <c r="E17" s="13" t="s">
        <v>90</v>
      </c>
      <c r="F17" s="13" t="s">
        <v>60</v>
      </c>
      <c r="G17" s="13" t="s">
        <v>61</v>
      </c>
      <c r="H17" s="13" t="s">
        <v>5</v>
      </c>
      <c r="I17" s="13">
        <v>1500</v>
      </c>
      <c r="J17" s="13">
        <v>-75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58</v>
      </c>
      <c r="Q17" s="13">
        <v>-58</v>
      </c>
      <c r="R17" s="13">
        <v>0</v>
      </c>
      <c r="S17" s="13">
        <v>0</v>
      </c>
      <c r="T17" s="13">
        <v>0</v>
      </c>
      <c r="U17" s="13">
        <v>0</v>
      </c>
      <c r="V17" s="13">
        <v>-80</v>
      </c>
      <c r="W17" s="13">
        <v>0</v>
      </c>
      <c r="X17" s="13">
        <v>-32</v>
      </c>
      <c r="Y17" s="13">
        <v>0</v>
      </c>
      <c r="Z17" s="13">
        <v>1313</v>
      </c>
      <c r="AA17" s="13"/>
      <c r="AB17" s="13">
        <v>0</v>
      </c>
      <c r="AC17" s="13">
        <v>0</v>
      </c>
      <c r="AD17" s="13" t="s">
        <v>62</v>
      </c>
      <c r="AE17" s="13" t="s">
        <v>67</v>
      </c>
      <c r="AF17" s="13"/>
      <c r="AG17" s="13">
        <v>0</v>
      </c>
      <c r="AH17" s="13">
        <v>0</v>
      </c>
      <c r="AI17" s="13">
        <v>0</v>
      </c>
      <c r="AJ17" s="13">
        <v>0</v>
      </c>
      <c r="AK17" s="13">
        <v>0</v>
      </c>
    </row>
    <row r="18" spans="1:37" x14ac:dyDescent="0.15">
      <c r="A18" s="13">
        <v>12</v>
      </c>
      <c r="B18" s="13" t="s">
        <v>91</v>
      </c>
      <c r="C18" s="13"/>
      <c r="D18" s="13" t="s">
        <v>92</v>
      </c>
      <c r="E18" s="13" t="s">
        <v>81</v>
      </c>
      <c r="F18" s="13" t="s">
        <v>60</v>
      </c>
      <c r="G18" s="13" t="s">
        <v>61</v>
      </c>
      <c r="H18" s="13" t="s">
        <v>5</v>
      </c>
      <c r="I18" s="13">
        <v>1550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130</v>
      </c>
      <c r="Q18" s="13">
        <v>-130</v>
      </c>
      <c r="R18" s="13">
        <v>0</v>
      </c>
      <c r="S18" s="13">
        <v>0</v>
      </c>
      <c r="T18" s="13">
        <v>0</v>
      </c>
      <c r="U18" s="13">
        <v>0</v>
      </c>
      <c r="V18" s="13">
        <v>-87</v>
      </c>
      <c r="W18" s="13">
        <v>0</v>
      </c>
      <c r="X18" s="13">
        <v>-35</v>
      </c>
      <c r="Y18" s="13">
        <v>0</v>
      </c>
      <c r="Z18" s="13">
        <v>1428</v>
      </c>
      <c r="AA18" s="13"/>
      <c r="AB18" s="13">
        <v>0</v>
      </c>
      <c r="AC18" s="13">
        <v>0</v>
      </c>
      <c r="AD18" s="13" t="s">
        <v>62</v>
      </c>
      <c r="AE18" s="13" t="s">
        <v>93</v>
      </c>
      <c r="AF18" s="13"/>
      <c r="AG18" s="13">
        <v>0</v>
      </c>
      <c r="AH18" s="13">
        <v>0</v>
      </c>
      <c r="AI18" s="13">
        <v>0</v>
      </c>
      <c r="AJ18" s="13">
        <v>0</v>
      </c>
      <c r="AK18" s="13">
        <v>0</v>
      </c>
    </row>
    <row r="19" spans="1:37" x14ac:dyDescent="0.15">
      <c r="A19" s="13">
        <v>13</v>
      </c>
      <c r="B19" s="13" t="s">
        <v>94</v>
      </c>
      <c r="C19" s="13"/>
      <c r="D19" s="13" t="s">
        <v>95</v>
      </c>
      <c r="E19" s="13" t="s">
        <v>90</v>
      </c>
      <c r="F19" s="13" t="s">
        <v>96</v>
      </c>
      <c r="G19" s="13" t="s">
        <v>61</v>
      </c>
      <c r="H19" s="13" t="s">
        <v>5</v>
      </c>
      <c r="I19" s="13">
        <v>59</v>
      </c>
      <c r="J19" s="13">
        <v>-3</v>
      </c>
      <c r="K19" s="13">
        <v>0</v>
      </c>
      <c r="L19" s="13">
        <v>0</v>
      </c>
      <c r="M19" s="13">
        <v>0</v>
      </c>
      <c r="N19" s="13">
        <v>0</v>
      </c>
      <c r="O19" s="13">
        <v>36</v>
      </c>
      <c r="P19" s="13">
        <v>0</v>
      </c>
      <c r="Q19" s="13">
        <v>-36</v>
      </c>
      <c r="R19" s="13">
        <v>0</v>
      </c>
      <c r="S19" s="13">
        <v>0</v>
      </c>
      <c r="T19" s="13">
        <v>0</v>
      </c>
      <c r="U19" s="13">
        <v>0</v>
      </c>
      <c r="V19" s="13">
        <v>-3</v>
      </c>
      <c r="W19" s="13">
        <v>0</v>
      </c>
      <c r="X19" s="13">
        <v>-2</v>
      </c>
      <c r="Y19" s="13">
        <v>0</v>
      </c>
      <c r="Z19" s="13">
        <v>51</v>
      </c>
      <c r="AA19" s="13"/>
      <c r="AB19" s="13">
        <v>0</v>
      </c>
      <c r="AC19" s="13">
        <v>0</v>
      </c>
      <c r="AD19" s="13" t="s">
        <v>62</v>
      </c>
      <c r="AE19" s="13" t="s">
        <v>67</v>
      </c>
      <c r="AF19" s="13"/>
      <c r="AG19" s="13">
        <v>0</v>
      </c>
      <c r="AH19" s="13">
        <v>0</v>
      </c>
      <c r="AI19" s="13">
        <v>0</v>
      </c>
      <c r="AJ19" s="13">
        <v>0</v>
      </c>
      <c r="AK19" s="13">
        <v>0</v>
      </c>
    </row>
    <row r="20" spans="1:37" x14ac:dyDescent="0.15">
      <c r="A20" s="13">
        <v>14</v>
      </c>
      <c r="B20" s="13" t="s">
        <v>97</v>
      </c>
      <c r="C20" s="13"/>
      <c r="D20" s="13" t="s">
        <v>98</v>
      </c>
      <c r="E20" s="13" t="s">
        <v>90</v>
      </c>
      <c r="F20" s="13" t="s">
        <v>60</v>
      </c>
      <c r="G20" s="13" t="s">
        <v>61</v>
      </c>
      <c r="H20" s="13" t="s">
        <v>5</v>
      </c>
      <c r="I20" s="13">
        <v>1550</v>
      </c>
      <c r="J20" s="13">
        <v>-78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58</v>
      </c>
      <c r="Q20" s="13">
        <v>-58</v>
      </c>
      <c r="R20" s="13">
        <v>0</v>
      </c>
      <c r="S20" s="13">
        <v>0</v>
      </c>
      <c r="T20" s="13">
        <v>0</v>
      </c>
      <c r="U20" s="13">
        <v>0</v>
      </c>
      <c r="V20" s="13">
        <v>-82</v>
      </c>
      <c r="W20" s="13">
        <v>0</v>
      </c>
      <c r="X20" s="13">
        <v>-33</v>
      </c>
      <c r="Y20" s="13">
        <v>0</v>
      </c>
      <c r="Z20" s="13">
        <v>1357</v>
      </c>
      <c r="AA20" s="13"/>
      <c r="AB20" s="13">
        <v>0</v>
      </c>
      <c r="AC20" s="13">
        <v>0</v>
      </c>
      <c r="AD20" s="13" t="s">
        <v>62</v>
      </c>
      <c r="AE20" s="13" t="s">
        <v>67</v>
      </c>
      <c r="AF20" s="13"/>
      <c r="AG20" s="13">
        <v>0</v>
      </c>
      <c r="AH20" s="13">
        <v>0</v>
      </c>
      <c r="AI20" s="13">
        <v>0</v>
      </c>
      <c r="AJ20" s="13">
        <v>0</v>
      </c>
      <c r="AK20" s="13">
        <v>0</v>
      </c>
    </row>
    <row r="21" spans="1:37" x14ac:dyDescent="0.15">
      <c r="A21" s="13">
        <v>15</v>
      </c>
      <c r="B21" s="13" t="s">
        <v>99</v>
      </c>
      <c r="C21" s="13"/>
      <c r="D21" s="13" t="s">
        <v>100</v>
      </c>
      <c r="E21" s="13" t="s">
        <v>66</v>
      </c>
      <c r="F21" s="13" t="s">
        <v>60</v>
      </c>
      <c r="G21" s="13" t="s">
        <v>61</v>
      </c>
      <c r="H21" s="13" t="s">
        <v>5</v>
      </c>
      <c r="I21" s="13">
        <v>340</v>
      </c>
      <c r="J21" s="13">
        <v>-17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58</v>
      </c>
      <c r="Q21" s="13">
        <v>-58</v>
      </c>
      <c r="R21" s="13">
        <v>0</v>
      </c>
      <c r="S21" s="13">
        <v>0</v>
      </c>
      <c r="T21" s="13">
        <v>0</v>
      </c>
      <c r="U21" s="13">
        <v>0</v>
      </c>
      <c r="V21" s="13">
        <v>-18</v>
      </c>
      <c r="W21" s="13">
        <v>0</v>
      </c>
      <c r="X21" s="13">
        <v>-7</v>
      </c>
      <c r="Y21" s="13">
        <v>0</v>
      </c>
      <c r="Z21" s="13">
        <v>298</v>
      </c>
      <c r="AA21" s="13"/>
      <c r="AB21" s="13">
        <v>0</v>
      </c>
      <c r="AC21" s="13">
        <v>0</v>
      </c>
      <c r="AD21" s="13" t="s">
        <v>62</v>
      </c>
      <c r="AE21" s="13" t="s">
        <v>67</v>
      </c>
      <c r="AF21" s="13"/>
      <c r="AG21" s="13">
        <v>0</v>
      </c>
      <c r="AH21" s="13">
        <v>0</v>
      </c>
      <c r="AI21" s="13">
        <v>0</v>
      </c>
      <c r="AJ21" s="13">
        <v>0</v>
      </c>
      <c r="AK21" s="13">
        <v>0</v>
      </c>
    </row>
    <row r="22" spans="1:37" x14ac:dyDescent="0.15">
      <c r="A22" s="13">
        <v>16</v>
      </c>
      <c r="B22" s="13" t="s">
        <v>101</v>
      </c>
      <c r="C22" s="13"/>
      <c r="D22" s="13" t="s">
        <v>102</v>
      </c>
      <c r="E22" s="13" t="s">
        <v>66</v>
      </c>
      <c r="F22" s="13" t="s">
        <v>60</v>
      </c>
      <c r="G22" s="13" t="s">
        <v>61</v>
      </c>
      <c r="H22" s="13" t="s">
        <v>5</v>
      </c>
      <c r="I22" s="13">
        <v>118</v>
      </c>
      <c r="J22" s="13">
        <v>-6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36</v>
      </c>
      <c r="Q22" s="13">
        <v>-36</v>
      </c>
      <c r="R22" s="13">
        <v>0</v>
      </c>
      <c r="S22" s="13">
        <v>0</v>
      </c>
      <c r="T22" s="13">
        <v>0</v>
      </c>
      <c r="U22" s="13">
        <v>0</v>
      </c>
      <c r="V22" s="13">
        <v>-6</v>
      </c>
      <c r="W22" s="13">
        <v>0</v>
      </c>
      <c r="X22" s="13">
        <v>-3</v>
      </c>
      <c r="Y22" s="13">
        <v>0</v>
      </c>
      <c r="Z22" s="13">
        <v>103</v>
      </c>
      <c r="AA22" s="13"/>
      <c r="AB22" s="13">
        <v>0</v>
      </c>
      <c r="AC22" s="13">
        <v>0</v>
      </c>
      <c r="AD22" s="13" t="s">
        <v>62</v>
      </c>
      <c r="AE22" s="13" t="s">
        <v>67</v>
      </c>
      <c r="AF22" s="13"/>
      <c r="AG22" s="13">
        <v>0</v>
      </c>
      <c r="AH22" s="13">
        <v>0</v>
      </c>
      <c r="AI22" s="13">
        <v>0</v>
      </c>
      <c r="AJ22" s="13">
        <v>0</v>
      </c>
      <c r="AK22" s="13">
        <v>0</v>
      </c>
    </row>
    <row r="23" spans="1:37" x14ac:dyDescent="0.15">
      <c r="A23" s="13">
        <v>17</v>
      </c>
      <c r="B23" s="13" t="s">
        <v>103</v>
      </c>
      <c r="C23" s="13"/>
      <c r="D23" s="13" t="s">
        <v>104</v>
      </c>
      <c r="E23" s="13" t="s">
        <v>90</v>
      </c>
      <c r="F23" s="13" t="s">
        <v>82</v>
      </c>
      <c r="G23" s="13" t="s">
        <v>61</v>
      </c>
      <c r="H23" s="13" t="s">
        <v>105</v>
      </c>
      <c r="I23" s="13">
        <v>1700</v>
      </c>
      <c r="J23" s="13">
        <v>-85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95</v>
      </c>
      <c r="Q23" s="13">
        <v>-95</v>
      </c>
      <c r="R23" s="13">
        <v>0</v>
      </c>
      <c r="S23" s="13">
        <v>0</v>
      </c>
      <c r="T23" s="13">
        <v>0</v>
      </c>
      <c r="U23" s="13">
        <v>0</v>
      </c>
      <c r="V23" s="13">
        <v>-90</v>
      </c>
      <c r="W23" s="13">
        <v>0</v>
      </c>
      <c r="X23" s="13">
        <v>-36</v>
      </c>
      <c r="Y23" s="13">
        <v>0</v>
      </c>
      <c r="Z23" s="13">
        <v>1489</v>
      </c>
      <c r="AA23" s="13"/>
      <c r="AB23" s="13">
        <v>0</v>
      </c>
      <c r="AC23" s="13">
        <v>0</v>
      </c>
      <c r="AD23" s="13" t="s">
        <v>62</v>
      </c>
      <c r="AE23" s="13" t="s">
        <v>67</v>
      </c>
      <c r="AF23" s="13"/>
      <c r="AG23" s="13">
        <v>0</v>
      </c>
      <c r="AH23" s="13">
        <v>0</v>
      </c>
      <c r="AI23" s="13">
        <v>0</v>
      </c>
      <c r="AJ23" s="13">
        <v>0</v>
      </c>
      <c r="AK23" s="13">
        <v>0</v>
      </c>
    </row>
    <row r="24" spans="1:37" x14ac:dyDescent="0.15">
      <c r="A24" s="13">
        <v>18</v>
      </c>
      <c r="B24" s="13" t="s">
        <v>106</v>
      </c>
      <c r="C24" s="13"/>
      <c r="D24" s="13" t="s">
        <v>58</v>
      </c>
      <c r="E24" s="13" t="s">
        <v>59</v>
      </c>
      <c r="F24" s="13" t="s">
        <v>60</v>
      </c>
      <c r="G24" s="13" t="s">
        <v>61</v>
      </c>
      <c r="H24" s="13" t="s">
        <v>105</v>
      </c>
      <c r="I24" s="13">
        <v>320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105</v>
      </c>
      <c r="P24" s="13">
        <v>35</v>
      </c>
      <c r="Q24" s="13">
        <v>-140</v>
      </c>
      <c r="R24" s="13">
        <v>0</v>
      </c>
      <c r="S24" s="13">
        <v>0</v>
      </c>
      <c r="T24" s="13">
        <v>0</v>
      </c>
      <c r="U24" s="13">
        <v>0</v>
      </c>
      <c r="V24" s="13">
        <v>-14</v>
      </c>
      <c r="W24" s="13">
        <v>0</v>
      </c>
      <c r="X24" s="13">
        <v>-10</v>
      </c>
      <c r="Y24" s="13">
        <v>0</v>
      </c>
      <c r="Z24" s="13">
        <v>296</v>
      </c>
      <c r="AA24" s="13"/>
      <c r="AB24" s="13">
        <v>0</v>
      </c>
      <c r="AC24" s="13">
        <v>0</v>
      </c>
      <c r="AD24" s="13" t="s">
        <v>62</v>
      </c>
      <c r="AE24" s="13" t="s">
        <v>63</v>
      </c>
      <c r="AF24" s="13"/>
      <c r="AG24" s="13">
        <v>0</v>
      </c>
      <c r="AH24" s="13">
        <v>0</v>
      </c>
      <c r="AI24" s="13">
        <v>0</v>
      </c>
      <c r="AJ24" s="13">
        <v>0</v>
      </c>
      <c r="AK24" s="13">
        <v>0</v>
      </c>
    </row>
    <row r="25" spans="1:37" x14ac:dyDescent="0.15">
      <c r="A25" s="13">
        <v>19</v>
      </c>
      <c r="B25" s="13" t="s">
        <v>107</v>
      </c>
      <c r="C25" s="13"/>
      <c r="D25" s="13" t="s">
        <v>108</v>
      </c>
      <c r="E25" s="13" t="s">
        <v>109</v>
      </c>
      <c r="F25" s="13" t="s">
        <v>60</v>
      </c>
      <c r="G25" s="13" t="s">
        <v>61</v>
      </c>
      <c r="H25" s="13" t="s">
        <v>105</v>
      </c>
      <c r="I25" s="13">
        <v>650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47</v>
      </c>
      <c r="P25" s="13">
        <v>130</v>
      </c>
      <c r="Q25" s="13">
        <v>-177</v>
      </c>
      <c r="R25" s="13">
        <v>0</v>
      </c>
      <c r="S25" s="13">
        <v>0</v>
      </c>
      <c r="T25" s="13">
        <v>0</v>
      </c>
      <c r="U25" s="13">
        <v>0</v>
      </c>
      <c r="V25" s="13">
        <v>-29</v>
      </c>
      <c r="W25" s="13">
        <v>0</v>
      </c>
      <c r="X25" s="13">
        <v>-16</v>
      </c>
      <c r="Y25" s="13">
        <v>0</v>
      </c>
      <c r="Z25" s="13">
        <v>605</v>
      </c>
      <c r="AA25" s="13"/>
      <c r="AB25" s="13">
        <v>0</v>
      </c>
      <c r="AC25" s="13">
        <v>0</v>
      </c>
      <c r="AD25" s="13" t="s">
        <v>62</v>
      </c>
      <c r="AE25" s="13" t="s">
        <v>67</v>
      </c>
      <c r="AF25" s="13"/>
      <c r="AG25" s="13">
        <v>0</v>
      </c>
      <c r="AH25" s="13">
        <v>0</v>
      </c>
      <c r="AI25" s="13">
        <v>0</v>
      </c>
      <c r="AJ25" s="13">
        <v>0</v>
      </c>
      <c r="AK25" s="13">
        <v>0</v>
      </c>
    </row>
    <row r="26" spans="1:37" x14ac:dyDescent="0.15">
      <c r="A26" s="13">
        <v>20</v>
      </c>
      <c r="B26" s="13" t="s">
        <v>110</v>
      </c>
      <c r="C26" s="13"/>
      <c r="D26" s="13" t="s">
        <v>111</v>
      </c>
      <c r="E26" s="13" t="s">
        <v>81</v>
      </c>
      <c r="F26" s="13" t="s">
        <v>60</v>
      </c>
      <c r="G26" s="13" t="s">
        <v>61</v>
      </c>
      <c r="H26" s="13" t="s">
        <v>105</v>
      </c>
      <c r="I26" s="13">
        <v>1700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95</v>
      </c>
      <c r="Q26" s="13">
        <v>-95</v>
      </c>
      <c r="R26" s="13">
        <v>0</v>
      </c>
      <c r="S26" s="13">
        <v>0</v>
      </c>
      <c r="T26" s="13">
        <v>0</v>
      </c>
      <c r="U26" s="13">
        <v>0</v>
      </c>
      <c r="V26" s="13">
        <v>-95</v>
      </c>
      <c r="W26" s="13">
        <v>0</v>
      </c>
      <c r="X26" s="13">
        <v>-38</v>
      </c>
      <c r="Y26" s="13">
        <v>0</v>
      </c>
      <c r="Z26" s="13">
        <v>1567</v>
      </c>
      <c r="AA26" s="13"/>
      <c r="AB26" s="13">
        <v>0</v>
      </c>
      <c r="AC26" s="13">
        <v>0</v>
      </c>
      <c r="AD26" s="13" t="s">
        <v>62</v>
      </c>
      <c r="AE26" s="13" t="s">
        <v>67</v>
      </c>
      <c r="AF26" s="13"/>
      <c r="AG26" s="13">
        <v>0</v>
      </c>
      <c r="AH26" s="13">
        <v>0</v>
      </c>
      <c r="AI26" s="13">
        <v>0</v>
      </c>
      <c r="AJ26" s="13">
        <v>0</v>
      </c>
      <c r="AK26" s="13">
        <v>0</v>
      </c>
    </row>
    <row r="27" spans="1:37" x14ac:dyDescent="0.15">
      <c r="A27" s="13">
        <v>21</v>
      </c>
      <c r="B27" s="13" t="s">
        <v>112</v>
      </c>
      <c r="C27" s="13"/>
      <c r="D27" s="13" t="s">
        <v>113</v>
      </c>
      <c r="E27" s="13" t="s">
        <v>114</v>
      </c>
      <c r="F27" s="13" t="s">
        <v>82</v>
      </c>
      <c r="G27" s="13" t="s">
        <v>61</v>
      </c>
      <c r="H27" s="13" t="s">
        <v>105</v>
      </c>
      <c r="I27" s="13">
        <v>400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115</v>
      </c>
      <c r="Q27" s="13">
        <v>-115</v>
      </c>
      <c r="R27" s="13">
        <v>0</v>
      </c>
      <c r="S27" s="13">
        <v>0</v>
      </c>
      <c r="T27" s="13">
        <v>0</v>
      </c>
      <c r="U27" s="13">
        <v>0</v>
      </c>
      <c r="V27" s="13">
        <v>-22</v>
      </c>
      <c r="W27" s="13">
        <v>0</v>
      </c>
      <c r="X27" s="13">
        <v>-9</v>
      </c>
      <c r="Y27" s="13">
        <v>0</v>
      </c>
      <c r="Z27" s="13">
        <v>369</v>
      </c>
      <c r="AA27" s="13"/>
      <c r="AB27" s="13">
        <v>0</v>
      </c>
      <c r="AC27" s="13">
        <v>0</v>
      </c>
      <c r="AD27" s="13" t="s">
        <v>62</v>
      </c>
      <c r="AE27" s="13" t="s">
        <v>67</v>
      </c>
      <c r="AF27" s="13"/>
      <c r="AG27" s="13">
        <v>0</v>
      </c>
      <c r="AH27" s="13">
        <v>0</v>
      </c>
      <c r="AI27" s="13">
        <v>0</v>
      </c>
      <c r="AJ27" s="13">
        <v>0</v>
      </c>
      <c r="AK27" s="13">
        <v>0</v>
      </c>
    </row>
    <row r="28" spans="1:37" x14ac:dyDescent="0.15">
      <c r="A28" s="13">
        <v>22</v>
      </c>
      <c r="B28" s="13" t="s">
        <v>115</v>
      </c>
      <c r="C28" s="13"/>
      <c r="D28" s="13" t="s">
        <v>116</v>
      </c>
      <c r="E28" s="13" t="s">
        <v>117</v>
      </c>
      <c r="F28" s="13" t="s">
        <v>60</v>
      </c>
      <c r="G28" s="13" t="s">
        <v>61</v>
      </c>
      <c r="H28" s="13" t="s">
        <v>105</v>
      </c>
      <c r="I28" s="13">
        <v>1700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50</v>
      </c>
      <c r="Q28" s="13">
        <v>-50</v>
      </c>
      <c r="R28" s="13">
        <v>0</v>
      </c>
      <c r="S28" s="13">
        <v>0</v>
      </c>
      <c r="T28" s="13">
        <v>0</v>
      </c>
      <c r="U28" s="13">
        <v>0</v>
      </c>
      <c r="V28" s="13">
        <v>-95</v>
      </c>
      <c r="W28" s="13">
        <v>0</v>
      </c>
      <c r="X28" s="13">
        <v>-38</v>
      </c>
      <c r="Y28" s="13">
        <v>0</v>
      </c>
      <c r="Z28" s="13">
        <v>1567</v>
      </c>
      <c r="AA28" s="13"/>
      <c r="AB28" s="13">
        <v>0</v>
      </c>
      <c r="AC28" s="13">
        <v>0</v>
      </c>
      <c r="AD28" s="13" t="s">
        <v>62</v>
      </c>
      <c r="AE28" s="13" t="s">
        <v>67</v>
      </c>
      <c r="AF28" s="13"/>
      <c r="AG28" s="13">
        <v>0</v>
      </c>
      <c r="AH28" s="13">
        <v>0</v>
      </c>
      <c r="AI28" s="13">
        <v>0</v>
      </c>
      <c r="AJ28" s="13">
        <v>0</v>
      </c>
      <c r="AK28" s="13">
        <v>0</v>
      </c>
    </row>
    <row r="29" spans="1:37" x14ac:dyDescent="0.15">
      <c r="A29" s="13">
        <v>23</v>
      </c>
      <c r="B29" s="13" t="s">
        <v>118</v>
      </c>
      <c r="C29" s="13"/>
      <c r="D29" s="13" t="s">
        <v>119</v>
      </c>
      <c r="E29" s="13" t="s">
        <v>66</v>
      </c>
      <c r="F29" s="13" t="s">
        <v>60</v>
      </c>
      <c r="G29" s="13" t="s">
        <v>61</v>
      </c>
      <c r="H29" s="13" t="s">
        <v>105</v>
      </c>
      <c r="I29" s="13">
        <v>150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40</v>
      </c>
      <c r="P29" s="13">
        <v>80</v>
      </c>
      <c r="Q29" s="13">
        <v>-120</v>
      </c>
      <c r="R29" s="13">
        <v>0</v>
      </c>
      <c r="S29" s="13">
        <v>0</v>
      </c>
      <c r="T29" s="13">
        <v>0</v>
      </c>
      <c r="U29" s="13">
        <v>0</v>
      </c>
      <c r="V29" s="13">
        <v>-8</v>
      </c>
      <c r="W29" s="13">
        <v>0</v>
      </c>
      <c r="X29" s="13">
        <v>-4</v>
      </c>
      <c r="Y29" s="13">
        <v>0</v>
      </c>
      <c r="Z29" s="13">
        <v>138</v>
      </c>
      <c r="AA29" s="13"/>
      <c r="AB29" s="13">
        <v>0</v>
      </c>
      <c r="AC29" s="13">
        <v>0</v>
      </c>
      <c r="AD29" s="13" t="s">
        <v>62</v>
      </c>
      <c r="AE29" s="13" t="s">
        <v>67</v>
      </c>
      <c r="AF29" s="13"/>
      <c r="AG29" s="13">
        <v>0</v>
      </c>
      <c r="AH29" s="13">
        <v>0</v>
      </c>
      <c r="AI29" s="13">
        <v>0</v>
      </c>
      <c r="AJ29" s="13">
        <v>0</v>
      </c>
      <c r="AK29" s="13">
        <v>0</v>
      </c>
    </row>
    <row r="30" spans="1:37" x14ac:dyDescent="0.15">
      <c r="A30" s="13">
        <v>24</v>
      </c>
      <c r="B30" s="13" t="s">
        <v>120</v>
      </c>
      <c r="C30" s="13"/>
      <c r="D30" s="13" t="s">
        <v>121</v>
      </c>
      <c r="E30" s="13" t="s">
        <v>70</v>
      </c>
      <c r="F30" s="13" t="s">
        <v>60</v>
      </c>
      <c r="G30" s="13" t="s">
        <v>61</v>
      </c>
      <c r="H30" s="13" t="s">
        <v>105</v>
      </c>
      <c r="I30" s="13">
        <v>500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57</v>
      </c>
      <c r="P30" s="13">
        <v>83</v>
      </c>
      <c r="Q30" s="13">
        <v>-140</v>
      </c>
      <c r="R30" s="13">
        <v>0</v>
      </c>
      <c r="S30" s="13">
        <v>0</v>
      </c>
      <c r="T30" s="13">
        <v>0</v>
      </c>
      <c r="U30" s="13">
        <v>0</v>
      </c>
      <c r="V30" s="13">
        <v>-28</v>
      </c>
      <c r="W30" s="13">
        <v>0</v>
      </c>
      <c r="X30" s="13">
        <v>-12</v>
      </c>
      <c r="Y30" s="13">
        <v>0</v>
      </c>
      <c r="Z30" s="13">
        <v>460</v>
      </c>
      <c r="AA30" s="13"/>
      <c r="AB30" s="13">
        <v>0</v>
      </c>
      <c r="AC30" s="13">
        <v>0</v>
      </c>
      <c r="AD30" s="13" t="s">
        <v>62</v>
      </c>
      <c r="AE30" s="13" t="s">
        <v>63</v>
      </c>
      <c r="AF30" s="13"/>
      <c r="AG30" s="13">
        <v>0</v>
      </c>
      <c r="AH30" s="13">
        <v>0</v>
      </c>
      <c r="AI30" s="13">
        <v>0</v>
      </c>
      <c r="AJ30" s="13">
        <v>0</v>
      </c>
      <c r="AK30" s="13">
        <v>0</v>
      </c>
    </row>
    <row r="31" spans="1:37" x14ac:dyDescent="0.15">
      <c r="A31" s="13">
        <v>25</v>
      </c>
      <c r="B31" s="13" t="s">
        <v>122</v>
      </c>
      <c r="C31" s="13"/>
      <c r="D31" s="13" t="s">
        <v>123</v>
      </c>
      <c r="E31" s="13" t="s">
        <v>124</v>
      </c>
      <c r="F31" s="13" t="s">
        <v>82</v>
      </c>
      <c r="G31" s="13" t="s">
        <v>61</v>
      </c>
      <c r="H31" s="13" t="s">
        <v>105</v>
      </c>
      <c r="I31" s="13">
        <v>1700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50</v>
      </c>
      <c r="Q31" s="13">
        <v>-50</v>
      </c>
      <c r="R31" s="13">
        <v>0</v>
      </c>
      <c r="S31" s="13">
        <v>0</v>
      </c>
      <c r="T31" s="13">
        <v>-97</v>
      </c>
      <c r="U31" s="13">
        <v>0</v>
      </c>
      <c r="V31" s="13">
        <v>-95</v>
      </c>
      <c r="W31" s="13">
        <v>0</v>
      </c>
      <c r="X31" s="13">
        <v>-38</v>
      </c>
      <c r="Y31" s="13">
        <v>0</v>
      </c>
      <c r="Z31" s="13">
        <v>1470</v>
      </c>
      <c r="AA31" s="13"/>
      <c r="AB31" s="13">
        <v>0</v>
      </c>
      <c r="AC31" s="13">
        <v>0</v>
      </c>
      <c r="AD31" s="13" t="s">
        <v>62</v>
      </c>
      <c r="AE31" s="13" t="s">
        <v>93</v>
      </c>
      <c r="AF31" s="13"/>
      <c r="AG31" s="13">
        <v>0</v>
      </c>
      <c r="AH31" s="13">
        <v>0</v>
      </c>
      <c r="AI31" s="13">
        <v>0</v>
      </c>
      <c r="AJ31" s="13">
        <v>0</v>
      </c>
      <c r="AK31" s="13">
        <v>0</v>
      </c>
    </row>
    <row r="32" spans="1:37" x14ac:dyDescent="0.15">
      <c r="A32" s="13">
        <v>26</v>
      </c>
      <c r="B32" s="13" t="s">
        <v>125</v>
      </c>
      <c r="C32" s="13"/>
      <c r="D32" s="13" t="s">
        <v>126</v>
      </c>
      <c r="E32" s="13" t="s">
        <v>81</v>
      </c>
      <c r="F32" s="13" t="s">
        <v>60</v>
      </c>
      <c r="G32" s="13" t="s">
        <v>61</v>
      </c>
      <c r="H32" s="13" t="s">
        <v>105</v>
      </c>
      <c r="I32" s="13">
        <v>640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16</v>
      </c>
      <c r="P32" s="13">
        <v>124</v>
      </c>
      <c r="Q32" s="13">
        <v>-140</v>
      </c>
      <c r="R32" s="13">
        <v>0</v>
      </c>
      <c r="S32" s="13">
        <v>0</v>
      </c>
      <c r="T32" s="13">
        <v>0</v>
      </c>
      <c r="U32" s="13">
        <v>0</v>
      </c>
      <c r="V32" s="13">
        <v>-36</v>
      </c>
      <c r="W32" s="13">
        <v>0</v>
      </c>
      <c r="X32" s="13">
        <v>-15</v>
      </c>
      <c r="Y32" s="13">
        <v>0</v>
      </c>
      <c r="Z32" s="13">
        <v>589</v>
      </c>
      <c r="AA32" s="13"/>
      <c r="AB32" s="13">
        <v>0</v>
      </c>
      <c r="AC32" s="13">
        <v>0</v>
      </c>
      <c r="AD32" s="13" t="s">
        <v>62</v>
      </c>
      <c r="AE32" s="13" t="s">
        <v>63</v>
      </c>
      <c r="AF32" s="13"/>
      <c r="AG32" s="13">
        <v>0</v>
      </c>
      <c r="AH32" s="13">
        <v>0</v>
      </c>
      <c r="AI32" s="13">
        <v>0</v>
      </c>
      <c r="AJ32" s="13">
        <v>0</v>
      </c>
      <c r="AK32" s="13">
        <v>0</v>
      </c>
    </row>
    <row r="33" spans="1:37" x14ac:dyDescent="0.15">
      <c r="A33" s="13">
        <v>27</v>
      </c>
      <c r="B33" s="13" t="s">
        <v>127</v>
      </c>
      <c r="C33" s="13"/>
      <c r="D33" s="13" t="s">
        <v>128</v>
      </c>
      <c r="E33" s="13" t="s">
        <v>114</v>
      </c>
      <c r="F33" s="13" t="s">
        <v>60</v>
      </c>
      <c r="G33" s="13" t="s">
        <v>61</v>
      </c>
      <c r="H33" s="13" t="s">
        <v>105</v>
      </c>
      <c r="I33" s="13">
        <v>320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10</v>
      </c>
      <c r="P33" s="13">
        <v>120</v>
      </c>
      <c r="Q33" s="13">
        <v>-130</v>
      </c>
      <c r="R33" s="13">
        <v>0</v>
      </c>
      <c r="S33" s="13">
        <v>0</v>
      </c>
      <c r="T33" s="13">
        <v>0</v>
      </c>
      <c r="U33" s="13">
        <v>0</v>
      </c>
      <c r="V33" s="13">
        <v>-18</v>
      </c>
      <c r="W33" s="13">
        <v>0</v>
      </c>
      <c r="X33" s="13">
        <v>-7</v>
      </c>
      <c r="Y33" s="13">
        <v>0</v>
      </c>
      <c r="Z33" s="13">
        <v>295</v>
      </c>
      <c r="AA33" s="13"/>
      <c r="AB33" s="13">
        <v>0</v>
      </c>
      <c r="AC33" s="13">
        <v>0</v>
      </c>
      <c r="AD33" s="13" t="s">
        <v>62</v>
      </c>
      <c r="AE33" s="13" t="s">
        <v>93</v>
      </c>
      <c r="AF33" s="13"/>
      <c r="AG33" s="13">
        <v>0</v>
      </c>
      <c r="AH33" s="13">
        <v>0</v>
      </c>
      <c r="AI33" s="13">
        <v>0</v>
      </c>
      <c r="AJ33" s="13">
        <v>0</v>
      </c>
      <c r="AK33" s="13">
        <v>0</v>
      </c>
    </row>
    <row r="34" spans="1:37" x14ac:dyDescent="0.15">
      <c r="A34" s="13">
        <v>28</v>
      </c>
      <c r="B34" s="13" t="s">
        <v>129</v>
      </c>
      <c r="C34" s="13"/>
      <c r="D34" s="13" t="s">
        <v>130</v>
      </c>
      <c r="E34" s="13" t="s">
        <v>131</v>
      </c>
      <c r="F34" s="13" t="s">
        <v>60</v>
      </c>
      <c r="G34" s="13" t="s">
        <v>61</v>
      </c>
      <c r="H34" s="13" t="s">
        <v>105</v>
      </c>
      <c r="I34" s="13">
        <v>1700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50</v>
      </c>
      <c r="Q34" s="13">
        <v>-50</v>
      </c>
      <c r="R34" s="13">
        <v>0</v>
      </c>
      <c r="S34" s="13">
        <v>0</v>
      </c>
      <c r="T34" s="13">
        <v>0</v>
      </c>
      <c r="U34" s="13">
        <v>0</v>
      </c>
      <c r="V34" s="13">
        <v>-95</v>
      </c>
      <c r="W34" s="13">
        <v>0</v>
      </c>
      <c r="X34" s="13">
        <v>-38</v>
      </c>
      <c r="Y34" s="13">
        <v>0</v>
      </c>
      <c r="Z34" s="13">
        <v>1567</v>
      </c>
      <c r="AA34" s="13"/>
      <c r="AB34" s="13">
        <v>0</v>
      </c>
      <c r="AC34" s="13">
        <v>0</v>
      </c>
      <c r="AD34" s="13" t="s">
        <v>62</v>
      </c>
      <c r="AE34" s="13" t="s">
        <v>67</v>
      </c>
      <c r="AF34" s="13"/>
      <c r="AG34" s="13">
        <v>0</v>
      </c>
      <c r="AH34" s="13">
        <v>0</v>
      </c>
      <c r="AI34" s="13">
        <v>0</v>
      </c>
      <c r="AJ34" s="13">
        <v>0</v>
      </c>
      <c r="AK34" s="13">
        <v>0</v>
      </c>
    </row>
    <row r="35" spans="1:37" x14ac:dyDescent="0.15">
      <c r="A35" s="13">
        <v>29</v>
      </c>
      <c r="B35" s="13" t="s">
        <v>132</v>
      </c>
      <c r="C35" s="13"/>
      <c r="D35" s="13" t="s">
        <v>133</v>
      </c>
      <c r="E35" s="13" t="s">
        <v>134</v>
      </c>
      <c r="F35" s="13" t="s">
        <v>60</v>
      </c>
      <c r="G35" s="13" t="s">
        <v>61</v>
      </c>
      <c r="H35" s="13" t="s">
        <v>135</v>
      </c>
      <c r="I35" s="13">
        <v>320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20</v>
      </c>
      <c r="P35" s="13">
        <v>120</v>
      </c>
      <c r="Q35" s="13">
        <v>-140</v>
      </c>
      <c r="R35" s="13">
        <v>0</v>
      </c>
      <c r="S35" s="13">
        <v>0</v>
      </c>
      <c r="T35" s="13">
        <v>0</v>
      </c>
      <c r="U35" s="13">
        <v>0</v>
      </c>
      <c r="V35" s="13">
        <v>-14</v>
      </c>
      <c r="W35" s="13">
        <v>0</v>
      </c>
      <c r="X35" s="13">
        <v>-8</v>
      </c>
      <c r="Y35" s="13">
        <v>0</v>
      </c>
      <c r="Z35" s="13">
        <v>298</v>
      </c>
      <c r="AA35" s="13"/>
      <c r="AB35" s="13">
        <v>0</v>
      </c>
      <c r="AC35" s="13">
        <v>0</v>
      </c>
      <c r="AD35" s="13" t="s">
        <v>62</v>
      </c>
      <c r="AE35" s="13" t="s">
        <v>67</v>
      </c>
      <c r="AF35" s="13"/>
      <c r="AG35" s="13">
        <v>0</v>
      </c>
      <c r="AH35" s="13">
        <v>0</v>
      </c>
      <c r="AI35" s="13">
        <v>0</v>
      </c>
      <c r="AJ35" s="13">
        <v>0</v>
      </c>
      <c r="AK35" s="13">
        <v>0</v>
      </c>
    </row>
    <row r="36" spans="1:37" x14ac:dyDescent="0.15">
      <c r="A36" s="13">
        <v>30</v>
      </c>
      <c r="B36" s="13" t="s">
        <v>136</v>
      </c>
      <c r="C36" s="13"/>
      <c r="D36" s="13" t="s">
        <v>137</v>
      </c>
      <c r="E36" s="13" t="s">
        <v>66</v>
      </c>
      <c r="F36" s="13" t="s">
        <v>60</v>
      </c>
      <c r="G36" s="13" t="s">
        <v>61</v>
      </c>
      <c r="H36" s="13" t="s">
        <v>135</v>
      </c>
      <c r="I36" s="13">
        <v>680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11</v>
      </c>
      <c r="P36" s="13">
        <v>130</v>
      </c>
      <c r="Q36" s="13">
        <v>-141</v>
      </c>
      <c r="R36" s="13">
        <v>0</v>
      </c>
      <c r="S36" s="13">
        <v>0</v>
      </c>
      <c r="T36" s="13">
        <v>0</v>
      </c>
      <c r="U36" s="13">
        <v>0</v>
      </c>
      <c r="V36" s="13">
        <v>-38</v>
      </c>
      <c r="W36" s="13">
        <v>0</v>
      </c>
      <c r="X36" s="13">
        <v>-15</v>
      </c>
      <c r="Y36" s="13">
        <v>0</v>
      </c>
      <c r="Z36" s="13">
        <v>627</v>
      </c>
      <c r="AA36" s="13"/>
      <c r="AB36" s="13">
        <v>0</v>
      </c>
      <c r="AC36" s="13">
        <v>0</v>
      </c>
      <c r="AD36" s="13" t="s">
        <v>62</v>
      </c>
      <c r="AE36" s="13" t="s">
        <v>67</v>
      </c>
      <c r="AF36" s="13"/>
      <c r="AG36" s="13">
        <v>0</v>
      </c>
      <c r="AH36" s="13">
        <v>0</v>
      </c>
      <c r="AI36" s="13">
        <v>0</v>
      </c>
      <c r="AJ36" s="13">
        <v>0</v>
      </c>
      <c r="AK36" s="13">
        <v>0</v>
      </c>
    </row>
    <row r="37" spans="1:37" x14ac:dyDescent="0.15">
      <c r="A37" s="13">
        <v>31</v>
      </c>
      <c r="B37" s="13" t="s">
        <v>138</v>
      </c>
      <c r="C37" s="13"/>
      <c r="D37" s="13" t="s">
        <v>139</v>
      </c>
      <c r="E37" s="13" t="s">
        <v>66</v>
      </c>
      <c r="F37" s="13" t="s">
        <v>60</v>
      </c>
      <c r="G37" s="13" t="s">
        <v>61</v>
      </c>
      <c r="H37" s="13" t="s">
        <v>135</v>
      </c>
      <c r="I37" s="13">
        <v>650</v>
      </c>
      <c r="J37" s="13">
        <v>-33</v>
      </c>
      <c r="K37" s="13">
        <v>0</v>
      </c>
      <c r="L37" s="13">
        <v>0</v>
      </c>
      <c r="M37" s="13">
        <v>0</v>
      </c>
      <c r="N37" s="13">
        <v>0</v>
      </c>
      <c r="O37" s="13">
        <v>15</v>
      </c>
      <c r="P37" s="13">
        <v>130</v>
      </c>
      <c r="Q37" s="13">
        <v>-145</v>
      </c>
      <c r="R37" s="13">
        <v>0</v>
      </c>
      <c r="S37" s="13">
        <v>0</v>
      </c>
      <c r="T37" s="13">
        <v>0</v>
      </c>
      <c r="U37" s="13">
        <v>0</v>
      </c>
      <c r="V37" s="13">
        <v>-35</v>
      </c>
      <c r="W37" s="13">
        <v>0</v>
      </c>
      <c r="X37" s="13">
        <v>-14</v>
      </c>
      <c r="Y37" s="13">
        <v>0</v>
      </c>
      <c r="Z37" s="13">
        <v>568</v>
      </c>
      <c r="AA37" s="13"/>
      <c r="AB37" s="13">
        <v>0</v>
      </c>
      <c r="AC37" s="13">
        <v>0</v>
      </c>
      <c r="AD37" s="13" t="s">
        <v>62</v>
      </c>
      <c r="AE37" s="13" t="s">
        <v>67</v>
      </c>
      <c r="AF37" s="13"/>
      <c r="AG37" s="13">
        <v>0</v>
      </c>
      <c r="AH37" s="13">
        <v>0</v>
      </c>
      <c r="AI37" s="13">
        <v>0</v>
      </c>
      <c r="AJ37" s="13">
        <v>0</v>
      </c>
      <c r="AK37" s="13">
        <v>0</v>
      </c>
    </row>
    <row r="38" spans="1:37" x14ac:dyDescent="0.15">
      <c r="A38" s="13">
        <v>32</v>
      </c>
      <c r="B38" s="13" t="s">
        <v>140</v>
      </c>
      <c r="C38" s="13"/>
      <c r="D38" s="13" t="s">
        <v>141</v>
      </c>
      <c r="E38" s="13" t="s">
        <v>117</v>
      </c>
      <c r="F38" s="13" t="s">
        <v>60</v>
      </c>
      <c r="G38" s="13" t="s">
        <v>61</v>
      </c>
      <c r="H38" s="13" t="s">
        <v>135</v>
      </c>
      <c r="I38" s="13">
        <v>680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36</v>
      </c>
      <c r="Q38" s="13">
        <v>-36</v>
      </c>
      <c r="R38" s="13">
        <v>0</v>
      </c>
      <c r="S38" s="13">
        <v>0</v>
      </c>
      <c r="T38" s="13">
        <v>0</v>
      </c>
      <c r="U38" s="13">
        <v>0</v>
      </c>
      <c r="V38" s="13">
        <v>-38</v>
      </c>
      <c r="W38" s="13">
        <v>0</v>
      </c>
      <c r="X38" s="13">
        <v>-15</v>
      </c>
      <c r="Y38" s="13">
        <v>0</v>
      </c>
      <c r="Z38" s="13">
        <v>627</v>
      </c>
      <c r="AA38" s="13"/>
      <c r="AB38" s="13">
        <v>0</v>
      </c>
      <c r="AC38" s="13">
        <v>0</v>
      </c>
      <c r="AD38" s="13" t="s">
        <v>62</v>
      </c>
      <c r="AE38" s="13" t="s">
        <v>67</v>
      </c>
      <c r="AF38" s="13"/>
      <c r="AG38" s="13">
        <v>0</v>
      </c>
      <c r="AH38" s="13">
        <v>0</v>
      </c>
      <c r="AI38" s="13">
        <v>0</v>
      </c>
      <c r="AJ38" s="13">
        <v>0</v>
      </c>
      <c r="AK38" s="13">
        <v>0</v>
      </c>
    </row>
    <row r="39" spans="1:37" x14ac:dyDescent="0.15">
      <c r="A39" s="13">
        <v>33</v>
      </c>
      <c r="B39" s="13" t="s">
        <v>142</v>
      </c>
      <c r="C39" s="13"/>
      <c r="D39" s="13" t="s">
        <v>143</v>
      </c>
      <c r="E39" s="13" t="s">
        <v>134</v>
      </c>
      <c r="F39" s="13" t="s">
        <v>60</v>
      </c>
      <c r="G39" s="13" t="s">
        <v>61</v>
      </c>
      <c r="H39" s="13" t="s">
        <v>135</v>
      </c>
      <c r="I39" s="13">
        <v>650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47</v>
      </c>
      <c r="P39" s="13">
        <v>130</v>
      </c>
      <c r="Q39" s="13">
        <v>-177</v>
      </c>
      <c r="R39" s="13">
        <v>0</v>
      </c>
      <c r="S39" s="13">
        <v>0</v>
      </c>
      <c r="T39" s="13">
        <v>0</v>
      </c>
      <c r="U39" s="13">
        <v>0</v>
      </c>
      <c r="V39" s="13">
        <v>-29</v>
      </c>
      <c r="W39" s="13">
        <v>0</v>
      </c>
      <c r="X39" s="13">
        <v>-16</v>
      </c>
      <c r="Y39" s="13">
        <v>0</v>
      </c>
      <c r="Z39" s="13">
        <v>605</v>
      </c>
      <c r="AA39" s="13"/>
      <c r="AB39" s="13">
        <v>0</v>
      </c>
      <c r="AC39" s="13">
        <v>0</v>
      </c>
      <c r="AD39" s="13" t="s">
        <v>62</v>
      </c>
      <c r="AE39" s="13" t="s">
        <v>67</v>
      </c>
      <c r="AF39" s="13"/>
      <c r="AG39" s="13">
        <v>0</v>
      </c>
      <c r="AH39" s="13">
        <v>0</v>
      </c>
      <c r="AI39" s="13">
        <v>0</v>
      </c>
      <c r="AJ39" s="13">
        <v>0</v>
      </c>
      <c r="AK39" s="13">
        <v>0</v>
      </c>
    </row>
    <row r="40" spans="1:37" x14ac:dyDescent="0.15">
      <c r="A40" s="13">
        <v>34</v>
      </c>
      <c r="B40" s="13" t="s">
        <v>144</v>
      </c>
      <c r="C40" s="13"/>
      <c r="D40" s="13" t="s">
        <v>145</v>
      </c>
      <c r="E40" s="13" t="s">
        <v>117</v>
      </c>
      <c r="F40" s="13" t="s">
        <v>82</v>
      </c>
      <c r="G40" s="13" t="s">
        <v>61</v>
      </c>
      <c r="H40" s="13" t="s">
        <v>135</v>
      </c>
      <c r="I40" s="13">
        <v>1700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95</v>
      </c>
      <c r="Q40" s="13">
        <v>-95</v>
      </c>
      <c r="R40" s="13">
        <v>0</v>
      </c>
      <c r="S40" s="13">
        <v>0</v>
      </c>
      <c r="T40" s="13">
        <v>0</v>
      </c>
      <c r="U40" s="13">
        <v>0</v>
      </c>
      <c r="V40" s="13">
        <v>-95</v>
      </c>
      <c r="W40" s="13">
        <v>0</v>
      </c>
      <c r="X40" s="13">
        <v>-38</v>
      </c>
      <c r="Y40" s="13">
        <v>0</v>
      </c>
      <c r="Z40" s="13">
        <v>1567</v>
      </c>
      <c r="AA40" s="13"/>
      <c r="AB40" s="13">
        <v>0</v>
      </c>
      <c r="AC40" s="13">
        <v>0</v>
      </c>
      <c r="AD40" s="13" t="s">
        <v>62</v>
      </c>
      <c r="AE40" s="13" t="s">
        <v>93</v>
      </c>
      <c r="AF40" s="13"/>
      <c r="AG40" s="13">
        <v>0</v>
      </c>
      <c r="AH40" s="13">
        <v>0</v>
      </c>
      <c r="AI40" s="13">
        <v>0</v>
      </c>
      <c r="AJ40" s="13">
        <v>0</v>
      </c>
      <c r="AK40" s="13">
        <v>0</v>
      </c>
    </row>
    <row r="41" spans="1:37" x14ac:dyDescent="0.15">
      <c r="A41" s="13">
        <v>35</v>
      </c>
      <c r="B41" s="13" t="s">
        <v>146</v>
      </c>
      <c r="C41" s="13"/>
      <c r="D41" s="13" t="s">
        <v>147</v>
      </c>
      <c r="E41" s="13" t="s">
        <v>124</v>
      </c>
      <c r="F41" s="13" t="s">
        <v>60</v>
      </c>
      <c r="G41" s="13" t="s">
        <v>61</v>
      </c>
      <c r="H41" s="13" t="s">
        <v>135</v>
      </c>
      <c r="I41" s="13">
        <v>800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50</v>
      </c>
      <c r="Q41" s="13">
        <v>-50</v>
      </c>
      <c r="R41" s="13">
        <v>0</v>
      </c>
      <c r="S41" s="13">
        <v>0</v>
      </c>
      <c r="T41" s="13">
        <v>0</v>
      </c>
      <c r="U41" s="13">
        <v>0</v>
      </c>
      <c r="V41" s="13">
        <v>-45</v>
      </c>
      <c r="W41" s="13">
        <v>0</v>
      </c>
      <c r="X41" s="13">
        <v>-18</v>
      </c>
      <c r="Y41" s="13">
        <v>0</v>
      </c>
      <c r="Z41" s="13">
        <v>737</v>
      </c>
      <c r="AA41" s="13"/>
      <c r="AB41" s="13">
        <v>0</v>
      </c>
      <c r="AC41" s="13">
        <v>0</v>
      </c>
      <c r="AD41" s="13" t="s">
        <v>62</v>
      </c>
      <c r="AE41" s="13" t="s">
        <v>67</v>
      </c>
      <c r="AF41" s="13"/>
      <c r="AG41" s="13">
        <v>0</v>
      </c>
      <c r="AH41" s="13">
        <v>0</v>
      </c>
      <c r="AI41" s="13">
        <v>0</v>
      </c>
      <c r="AJ41" s="13">
        <v>0</v>
      </c>
      <c r="AK41" s="13">
        <v>0</v>
      </c>
    </row>
    <row r="42" spans="1:37" x14ac:dyDescent="0.15">
      <c r="A42" s="13">
        <v>36</v>
      </c>
      <c r="B42" s="13" t="s">
        <v>148</v>
      </c>
      <c r="C42" s="13"/>
      <c r="D42" s="13" t="s">
        <v>149</v>
      </c>
      <c r="E42" s="13" t="s">
        <v>114</v>
      </c>
      <c r="F42" s="13" t="s">
        <v>60</v>
      </c>
      <c r="G42" s="13" t="s">
        <v>61</v>
      </c>
      <c r="H42" s="13" t="s">
        <v>135</v>
      </c>
      <c r="I42" s="13">
        <v>320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140</v>
      </c>
      <c r="Q42" s="13">
        <v>-140</v>
      </c>
      <c r="R42" s="13">
        <v>0</v>
      </c>
      <c r="S42" s="13">
        <v>0</v>
      </c>
      <c r="T42" s="13">
        <v>0</v>
      </c>
      <c r="U42" s="13">
        <v>0</v>
      </c>
      <c r="V42" s="13">
        <v>-18</v>
      </c>
      <c r="W42" s="13">
        <v>0</v>
      </c>
      <c r="X42" s="13">
        <v>-7</v>
      </c>
      <c r="Y42" s="13">
        <v>0</v>
      </c>
      <c r="Z42" s="13">
        <v>295</v>
      </c>
      <c r="AA42" s="13"/>
      <c r="AB42" s="13">
        <v>0</v>
      </c>
      <c r="AC42" s="13">
        <v>0</v>
      </c>
      <c r="AD42" s="13" t="s">
        <v>62</v>
      </c>
      <c r="AE42" s="13" t="s">
        <v>63</v>
      </c>
      <c r="AF42" s="13"/>
      <c r="AG42" s="13">
        <v>0</v>
      </c>
      <c r="AH42" s="13">
        <v>0</v>
      </c>
      <c r="AI42" s="13">
        <v>0</v>
      </c>
      <c r="AJ42" s="13">
        <v>0</v>
      </c>
      <c r="AK42" s="13">
        <v>0</v>
      </c>
    </row>
    <row r="43" spans="1:37" x14ac:dyDescent="0.15">
      <c r="A43" s="13">
        <v>37</v>
      </c>
      <c r="B43" s="13" t="s">
        <v>150</v>
      </c>
      <c r="C43" s="13"/>
      <c r="D43" s="13" t="s">
        <v>151</v>
      </c>
      <c r="E43" s="13" t="s">
        <v>66</v>
      </c>
      <c r="F43" s="13" t="s">
        <v>60</v>
      </c>
      <c r="G43" s="13" t="s">
        <v>61</v>
      </c>
      <c r="H43" s="13" t="s">
        <v>135</v>
      </c>
      <c r="I43" s="13">
        <v>320</v>
      </c>
      <c r="J43" s="13">
        <v>-16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120</v>
      </c>
      <c r="Q43" s="13">
        <v>-120</v>
      </c>
      <c r="R43" s="13">
        <v>0</v>
      </c>
      <c r="S43" s="13">
        <v>0</v>
      </c>
      <c r="T43" s="13">
        <v>0</v>
      </c>
      <c r="U43" s="13">
        <v>0</v>
      </c>
      <c r="V43" s="13">
        <v>-17</v>
      </c>
      <c r="W43" s="13">
        <v>0</v>
      </c>
      <c r="X43" s="13">
        <v>-7</v>
      </c>
      <c r="Y43" s="13">
        <v>0</v>
      </c>
      <c r="Z43" s="13">
        <v>280</v>
      </c>
      <c r="AA43" s="13"/>
      <c r="AB43" s="13">
        <v>0</v>
      </c>
      <c r="AC43" s="13">
        <v>0</v>
      </c>
      <c r="AD43" s="13" t="s">
        <v>62</v>
      </c>
      <c r="AE43" s="13" t="s">
        <v>67</v>
      </c>
      <c r="AF43" s="13"/>
      <c r="AG43" s="13">
        <v>0</v>
      </c>
      <c r="AH43" s="13">
        <v>0</v>
      </c>
      <c r="AI43" s="13">
        <v>0</v>
      </c>
      <c r="AJ43" s="13">
        <v>0</v>
      </c>
      <c r="AK43" s="13">
        <v>0</v>
      </c>
    </row>
    <row r="44" spans="1:37" x14ac:dyDescent="0.15">
      <c r="A44" s="13">
        <v>38</v>
      </c>
      <c r="B44" s="13" t="s">
        <v>152</v>
      </c>
      <c r="C44" s="13"/>
      <c r="D44" s="13" t="s">
        <v>153</v>
      </c>
      <c r="E44" s="13" t="s">
        <v>154</v>
      </c>
      <c r="F44" s="13" t="s">
        <v>60</v>
      </c>
      <c r="G44" s="13" t="s">
        <v>61</v>
      </c>
      <c r="H44" s="13" t="s">
        <v>135</v>
      </c>
      <c r="I44" s="13">
        <v>1500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146</v>
      </c>
      <c r="Q44" s="13">
        <v>-146</v>
      </c>
      <c r="R44" s="13">
        <v>0</v>
      </c>
      <c r="S44" s="13">
        <v>0</v>
      </c>
      <c r="T44" s="13">
        <v>0</v>
      </c>
      <c r="U44" s="13">
        <v>0</v>
      </c>
      <c r="V44" s="13">
        <v>-67</v>
      </c>
      <c r="W44" s="13">
        <v>0</v>
      </c>
      <c r="X44" s="13">
        <v>-34</v>
      </c>
      <c r="Y44" s="13">
        <v>0</v>
      </c>
      <c r="Z44" s="13">
        <v>1399</v>
      </c>
      <c r="AA44" s="13"/>
      <c r="AB44" s="13">
        <v>0</v>
      </c>
      <c r="AC44" s="13">
        <v>0</v>
      </c>
      <c r="AD44" s="13" t="s">
        <v>62</v>
      </c>
      <c r="AE44" s="13" t="s">
        <v>67</v>
      </c>
      <c r="AF44" s="13"/>
      <c r="AG44" s="13">
        <v>0</v>
      </c>
      <c r="AH44" s="13">
        <v>0</v>
      </c>
      <c r="AI44" s="13">
        <v>0</v>
      </c>
      <c r="AJ44" s="13">
        <v>0</v>
      </c>
      <c r="AK44" s="13">
        <v>0</v>
      </c>
    </row>
    <row r="45" spans="1:37" x14ac:dyDescent="0.15">
      <c r="A45" s="13">
        <v>39</v>
      </c>
      <c r="B45" s="13" t="s">
        <v>155</v>
      </c>
      <c r="C45" s="13"/>
      <c r="D45" s="13" t="s">
        <v>156</v>
      </c>
      <c r="E45" s="13" t="s">
        <v>66</v>
      </c>
      <c r="F45" s="13" t="s">
        <v>60</v>
      </c>
      <c r="G45" s="13" t="s">
        <v>61</v>
      </c>
      <c r="H45" s="13" t="s">
        <v>135</v>
      </c>
      <c r="I45" s="13">
        <v>320</v>
      </c>
      <c r="J45" s="13">
        <v>-16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120</v>
      </c>
      <c r="Q45" s="13">
        <v>-120</v>
      </c>
      <c r="R45" s="13">
        <v>0</v>
      </c>
      <c r="S45" s="13">
        <v>0</v>
      </c>
      <c r="T45" s="13">
        <v>0</v>
      </c>
      <c r="U45" s="13">
        <v>0</v>
      </c>
      <c r="V45" s="13">
        <v>-17</v>
      </c>
      <c r="W45" s="13">
        <v>0</v>
      </c>
      <c r="X45" s="13">
        <v>-7</v>
      </c>
      <c r="Y45" s="13">
        <v>0</v>
      </c>
      <c r="Z45" s="13">
        <v>280</v>
      </c>
      <c r="AA45" s="13"/>
      <c r="AB45" s="13">
        <v>0</v>
      </c>
      <c r="AC45" s="13">
        <v>0</v>
      </c>
      <c r="AD45" s="13" t="s">
        <v>62</v>
      </c>
      <c r="AE45" s="13" t="s">
        <v>63</v>
      </c>
      <c r="AF45" s="13"/>
      <c r="AG45" s="13">
        <v>0</v>
      </c>
      <c r="AH45" s="13">
        <v>0</v>
      </c>
      <c r="AI45" s="13">
        <v>0</v>
      </c>
      <c r="AJ45" s="13">
        <v>0</v>
      </c>
      <c r="AK45" s="13">
        <v>0</v>
      </c>
    </row>
    <row r="46" spans="1:37" x14ac:dyDescent="0.15">
      <c r="A46" s="13">
        <v>40</v>
      </c>
      <c r="B46" s="13" t="s">
        <v>157</v>
      </c>
      <c r="C46" s="13"/>
      <c r="D46" s="13" t="s">
        <v>158</v>
      </c>
      <c r="E46" s="13" t="s">
        <v>124</v>
      </c>
      <c r="F46" s="13" t="s">
        <v>60</v>
      </c>
      <c r="G46" s="13" t="s">
        <v>61</v>
      </c>
      <c r="H46" s="13" t="s">
        <v>135</v>
      </c>
      <c r="I46" s="13">
        <v>320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36</v>
      </c>
      <c r="Q46" s="13">
        <v>-36</v>
      </c>
      <c r="R46" s="13">
        <v>0</v>
      </c>
      <c r="S46" s="13">
        <v>0</v>
      </c>
      <c r="T46" s="13">
        <v>0</v>
      </c>
      <c r="U46" s="13">
        <v>0</v>
      </c>
      <c r="V46" s="13">
        <v>-18</v>
      </c>
      <c r="W46" s="13">
        <v>0</v>
      </c>
      <c r="X46" s="13">
        <v>-7</v>
      </c>
      <c r="Y46" s="13">
        <v>0</v>
      </c>
      <c r="Z46" s="13">
        <v>295</v>
      </c>
      <c r="AA46" s="13"/>
      <c r="AB46" s="13">
        <v>0</v>
      </c>
      <c r="AC46" s="13">
        <v>0</v>
      </c>
      <c r="AD46" s="13" t="s">
        <v>62</v>
      </c>
      <c r="AE46" s="13" t="s">
        <v>67</v>
      </c>
      <c r="AF46" s="13"/>
      <c r="AG46" s="13">
        <v>0</v>
      </c>
      <c r="AH46" s="13">
        <v>0</v>
      </c>
      <c r="AI46" s="13">
        <v>0</v>
      </c>
      <c r="AJ46" s="13">
        <v>0</v>
      </c>
      <c r="AK46" s="13">
        <v>0</v>
      </c>
    </row>
    <row r="47" spans="1:37" x14ac:dyDescent="0.15">
      <c r="A47" s="13">
        <v>41</v>
      </c>
      <c r="B47" s="13" t="s">
        <v>159</v>
      </c>
      <c r="C47" s="13"/>
      <c r="D47" s="13" t="s">
        <v>160</v>
      </c>
      <c r="E47" s="13" t="s">
        <v>161</v>
      </c>
      <c r="F47" s="13" t="s">
        <v>60</v>
      </c>
      <c r="G47" s="13" t="s">
        <v>61</v>
      </c>
      <c r="H47" s="13" t="s">
        <v>135</v>
      </c>
      <c r="I47" s="13">
        <v>650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177</v>
      </c>
      <c r="Q47" s="13">
        <v>-177</v>
      </c>
      <c r="R47" s="13">
        <v>0</v>
      </c>
      <c r="S47" s="13">
        <v>0</v>
      </c>
      <c r="T47" s="13">
        <v>0</v>
      </c>
      <c r="U47" s="13">
        <v>0</v>
      </c>
      <c r="V47" s="13">
        <v>-29</v>
      </c>
      <c r="W47" s="13">
        <v>0</v>
      </c>
      <c r="X47" s="13">
        <v>-15</v>
      </c>
      <c r="Y47" s="13">
        <v>0</v>
      </c>
      <c r="Z47" s="13">
        <v>606</v>
      </c>
      <c r="AA47" s="13"/>
      <c r="AB47" s="13">
        <v>0</v>
      </c>
      <c r="AC47" s="13">
        <v>0</v>
      </c>
      <c r="AD47" s="13" t="s">
        <v>62</v>
      </c>
      <c r="AE47" s="13" t="s">
        <v>67</v>
      </c>
      <c r="AF47" s="13"/>
      <c r="AG47" s="13">
        <v>0</v>
      </c>
      <c r="AH47" s="13">
        <v>0</v>
      </c>
      <c r="AI47" s="13">
        <v>0</v>
      </c>
      <c r="AJ47" s="13">
        <v>0</v>
      </c>
      <c r="AK47" s="13">
        <v>0</v>
      </c>
    </row>
    <row r="48" spans="1:37" x14ac:dyDescent="0.15">
      <c r="A48" s="13">
        <v>42</v>
      </c>
      <c r="B48" s="13" t="s">
        <v>162</v>
      </c>
      <c r="C48" s="13"/>
      <c r="D48" s="13" t="s">
        <v>163</v>
      </c>
      <c r="E48" s="13" t="s">
        <v>124</v>
      </c>
      <c r="F48" s="13" t="s">
        <v>60</v>
      </c>
      <c r="G48" s="13" t="s">
        <v>61</v>
      </c>
      <c r="H48" s="13" t="s">
        <v>135</v>
      </c>
      <c r="I48" s="13">
        <v>680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58</v>
      </c>
      <c r="Q48" s="13">
        <v>-58</v>
      </c>
      <c r="R48" s="13">
        <v>0</v>
      </c>
      <c r="S48" s="13">
        <v>0</v>
      </c>
      <c r="T48" s="13">
        <v>0</v>
      </c>
      <c r="U48" s="13">
        <v>0</v>
      </c>
      <c r="V48" s="13">
        <v>-38</v>
      </c>
      <c r="W48" s="13">
        <v>0</v>
      </c>
      <c r="X48" s="13">
        <v>-15</v>
      </c>
      <c r="Y48" s="13">
        <v>0</v>
      </c>
      <c r="Z48" s="13">
        <v>627</v>
      </c>
      <c r="AA48" s="13"/>
      <c r="AB48" s="13">
        <v>0</v>
      </c>
      <c r="AC48" s="13">
        <v>0</v>
      </c>
      <c r="AD48" s="13" t="s">
        <v>62</v>
      </c>
      <c r="AE48" s="13" t="s">
        <v>67</v>
      </c>
      <c r="AF48" s="13"/>
      <c r="AG48" s="13">
        <v>0</v>
      </c>
      <c r="AH48" s="13">
        <v>0</v>
      </c>
      <c r="AI48" s="13">
        <v>0</v>
      </c>
      <c r="AJ48" s="13">
        <v>0</v>
      </c>
      <c r="AK48" s="13">
        <v>0</v>
      </c>
    </row>
    <row r="49" spans="1:37" x14ac:dyDescent="0.15">
      <c r="A49" s="13">
        <v>43</v>
      </c>
      <c r="B49" s="13" t="s">
        <v>164</v>
      </c>
      <c r="C49" s="13"/>
      <c r="D49" s="13" t="s">
        <v>165</v>
      </c>
      <c r="E49" s="13" t="s">
        <v>59</v>
      </c>
      <c r="F49" s="13" t="s">
        <v>60</v>
      </c>
      <c r="G49" s="13" t="s">
        <v>61</v>
      </c>
      <c r="H49" s="13" t="s">
        <v>135</v>
      </c>
      <c r="I49" s="13">
        <v>320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20</v>
      </c>
      <c r="P49" s="13">
        <v>120</v>
      </c>
      <c r="Q49" s="13">
        <v>-140</v>
      </c>
      <c r="R49" s="13">
        <v>0</v>
      </c>
      <c r="S49" s="13">
        <v>0</v>
      </c>
      <c r="T49" s="13">
        <v>0</v>
      </c>
      <c r="U49" s="13">
        <v>0</v>
      </c>
      <c r="V49" s="13">
        <v>-14</v>
      </c>
      <c r="W49" s="13">
        <v>0</v>
      </c>
      <c r="X49" s="13">
        <v>-8</v>
      </c>
      <c r="Y49" s="13">
        <v>0</v>
      </c>
      <c r="Z49" s="13">
        <v>298</v>
      </c>
      <c r="AA49" s="13"/>
      <c r="AB49" s="13">
        <v>0</v>
      </c>
      <c r="AC49" s="13">
        <v>0</v>
      </c>
      <c r="AD49" s="13" t="s">
        <v>62</v>
      </c>
      <c r="AE49" s="13" t="s">
        <v>63</v>
      </c>
      <c r="AF49" s="13"/>
      <c r="AG49" s="13">
        <v>0</v>
      </c>
      <c r="AH49" s="13">
        <v>0</v>
      </c>
      <c r="AI49" s="13">
        <v>0</v>
      </c>
      <c r="AJ49" s="13">
        <v>0</v>
      </c>
      <c r="AK49" s="13">
        <v>0</v>
      </c>
    </row>
    <row r="50" spans="1:37" x14ac:dyDescent="0.15">
      <c r="A50" s="13">
        <v>44</v>
      </c>
      <c r="B50" s="13" t="s">
        <v>166</v>
      </c>
      <c r="C50" s="13"/>
      <c r="D50" s="13" t="s">
        <v>167</v>
      </c>
      <c r="E50" s="13" t="s">
        <v>168</v>
      </c>
      <c r="F50" s="13" t="s">
        <v>82</v>
      </c>
      <c r="G50" s="13" t="s">
        <v>61</v>
      </c>
      <c r="H50" s="13" t="s">
        <v>135</v>
      </c>
      <c r="I50" s="13">
        <v>1500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141</v>
      </c>
      <c r="Q50" s="13">
        <v>-141</v>
      </c>
      <c r="R50" s="13">
        <v>0</v>
      </c>
      <c r="S50" s="13">
        <v>0</v>
      </c>
      <c r="T50" s="13">
        <v>0</v>
      </c>
      <c r="U50" s="13">
        <v>0</v>
      </c>
      <c r="V50" s="13">
        <v>-84</v>
      </c>
      <c r="W50" s="13">
        <v>0</v>
      </c>
      <c r="X50" s="13">
        <v>-34</v>
      </c>
      <c r="Y50" s="13">
        <v>0</v>
      </c>
      <c r="Z50" s="13">
        <v>1382</v>
      </c>
      <c r="AA50" s="13"/>
      <c r="AB50" s="13">
        <v>0</v>
      </c>
      <c r="AC50" s="13">
        <v>0</v>
      </c>
      <c r="AD50" s="13" t="s">
        <v>62</v>
      </c>
      <c r="AE50" s="13" t="s">
        <v>67</v>
      </c>
      <c r="AF50" s="13"/>
      <c r="AG50" s="13">
        <v>0</v>
      </c>
      <c r="AH50" s="13">
        <v>0</v>
      </c>
      <c r="AI50" s="13">
        <v>0</v>
      </c>
      <c r="AJ50" s="13">
        <v>0</v>
      </c>
      <c r="AK50" s="13">
        <v>0</v>
      </c>
    </row>
    <row r="51" spans="1:37" x14ac:dyDescent="0.15">
      <c r="A51" s="13">
        <v>45</v>
      </c>
      <c r="B51" s="13" t="s">
        <v>169</v>
      </c>
      <c r="C51" s="13"/>
      <c r="D51" s="13" t="s">
        <v>170</v>
      </c>
      <c r="E51" s="13" t="s">
        <v>81</v>
      </c>
      <c r="F51" s="13" t="s">
        <v>60</v>
      </c>
      <c r="G51" s="13" t="s">
        <v>61</v>
      </c>
      <c r="H51" s="13" t="s">
        <v>135</v>
      </c>
      <c r="I51" s="13">
        <v>340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30</v>
      </c>
      <c r="P51" s="13">
        <v>110</v>
      </c>
      <c r="Q51" s="13">
        <v>-140</v>
      </c>
      <c r="R51" s="13">
        <v>0</v>
      </c>
      <c r="S51" s="13">
        <v>0</v>
      </c>
      <c r="T51" s="13">
        <v>0</v>
      </c>
      <c r="U51" s="13">
        <v>0</v>
      </c>
      <c r="V51" s="13">
        <v>-19</v>
      </c>
      <c r="W51" s="13">
        <v>0</v>
      </c>
      <c r="X51" s="13">
        <v>-8</v>
      </c>
      <c r="Y51" s="13">
        <v>0</v>
      </c>
      <c r="Z51" s="13">
        <v>313</v>
      </c>
      <c r="AA51" s="13"/>
      <c r="AB51" s="13">
        <v>0</v>
      </c>
      <c r="AC51" s="13">
        <v>0</v>
      </c>
      <c r="AD51" s="13" t="s">
        <v>62</v>
      </c>
      <c r="AE51" s="13" t="s">
        <v>63</v>
      </c>
      <c r="AF51" s="13"/>
      <c r="AG51" s="13">
        <v>0</v>
      </c>
      <c r="AH51" s="13">
        <v>0</v>
      </c>
      <c r="AI51" s="13">
        <v>0</v>
      </c>
      <c r="AJ51" s="13">
        <v>0</v>
      </c>
      <c r="AK51" s="13">
        <v>0</v>
      </c>
    </row>
    <row r="52" spans="1:37" x14ac:dyDescent="0.15">
      <c r="A52" s="13">
        <v>46</v>
      </c>
      <c r="B52" s="13" t="s">
        <v>171</v>
      </c>
      <c r="C52" s="13"/>
      <c r="D52" s="13" t="s">
        <v>172</v>
      </c>
      <c r="E52" s="13" t="s">
        <v>173</v>
      </c>
      <c r="F52" s="13" t="s">
        <v>60</v>
      </c>
      <c r="G52" s="13" t="s">
        <v>61</v>
      </c>
      <c r="H52" s="13" t="s">
        <v>135</v>
      </c>
      <c r="I52" s="13">
        <v>1700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36</v>
      </c>
      <c r="Q52" s="13">
        <v>-36</v>
      </c>
      <c r="R52" s="13">
        <v>0</v>
      </c>
      <c r="S52" s="13">
        <v>0</v>
      </c>
      <c r="T52" s="13">
        <v>0</v>
      </c>
      <c r="U52" s="13">
        <v>0</v>
      </c>
      <c r="V52" s="13">
        <v>-95</v>
      </c>
      <c r="W52" s="13">
        <v>0</v>
      </c>
      <c r="X52" s="13">
        <v>-38</v>
      </c>
      <c r="Y52" s="13">
        <v>0</v>
      </c>
      <c r="Z52" s="13">
        <v>1567</v>
      </c>
      <c r="AA52" s="13"/>
      <c r="AB52" s="13">
        <v>0</v>
      </c>
      <c r="AC52" s="13">
        <v>0</v>
      </c>
      <c r="AD52" s="13" t="s">
        <v>62</v>
      </c>
      <c r="AE52" s="13" t="s">
        <v>63</v>
      </c>
      <c r="AF52" s="13"/>
      <c r="AG52" s="13">
        <v>0</v>
      </c>
      <c r="AH52" s="13">
        <v>0</v>
      </c>
      <c r="AI52" s="13">
        <v>0</v>
      </c>
      <c r="AJ52" s="13">
        <v>0</v>
      </c>
      <c r="AK52" s="13">
        <v>0</v>
      </c>
    </row>
    <row r="53" spans="1:37" x14ac:dyDescent="0.15">
      <c r="A53" s="13">
        <v>47</v>
      </c>
      <c r="B53" s="13" t="s">
        <v>174</v>
      </c>
      <c r="C53" s="13"/>
      <c r="D53" s="13" t="s">
        <v>175</v>
      </c>
      <c r="E53" s="13" t="s">
        <v>81</v>
      </c>
      <c r="F53" s="13" t="s">
        <v>60</v>
      </c>
      <c r="G53" s="13" t="s">
        <v>61</v>
      </c>
      <c r="H53" s="13" t="s">
        <v>135</v>
      </c>
      <c r="I53" s="13">
        <v>320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10</v>
      </c>
      <c r="P53" s="13">
        <v>120</v>
      </c>
      <c r="Q53" s="13">
        <v>-130</v>
      </c>
      <c r="R53" s="13">
        <v>0</v>
      </c>
      <c r="S53" s="13">
        <v>0</v>
      </c>
      <c r="T53" s="13">
        <v>0</v>
      </c>
      <c r="U53" s="13">
        <v>0</v>
      </c>
      <c r="V53" s="13">
        <v>-18</v>
      </c>
      <c r="W53" s="13">
        <v>0</v>
      </c>
      <c r="X53" s="13">
        <v>-7</v>
      </c>
      <c r="Y53" s="13">
        <v>0</v>
      </c>
      <c r="Z53" s="13">
        <v>295</v>
      </c>
      <c r="AA53" s="13"/>
      <c r="AB53" s="13">
        <v>0</v>
      </c>
      <c r="AC53" s="13">
        <v>0</v>
      </c>
      <c r="AD53" s="13" t="s">
        <v>62</v>
      </c>
      <c r="AE53" s="13" t="s">
        <v>67</v>
      </c>
      <c r="AF53" s="13"/>
      <c r="AG53" s="13">
        <v>0</v>
      </c>
      <c r="AH53" s="13">
        <v>0</v>
      </c>
      <c r="AI53" s="13">
        <v>0</v>
      </c>
      <c r="AJ53" s="13">
        <v>0</v>
      </c>
      <c r="AK53" s="13">
        <v>0</v>
      </c>
    </row>
    <row r="54" spans="1:37" x14ac:dyDescent="0.15">
      <c r="A54" s="13">
        <v>48</v>
      </c>
      <c r="B54" s="13" t="s">
        <v>176</v>
      </c>
      <c r="C54" s="13"/>
      <c r="D54" s="13" t="s">
        <v>177</v>
      </c>
      <c r="E54" s="13" t="s">
        <v>173</v>
      </c>
      <c r="F54" s="13" t="s">
        <v>178</v>
      </c>
      <c r="G54" s="13" t="s">
        <v>61</v>
      </c>
      <c r="H54" s="13" t="s">
        <v>135</v>
      </c>
      <c r="I54" s="13">
        <v>1400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36</v>
      </c>
      <c r="P54" s="13">
        <v>0</v>
      </c>
      <c r="Q54" s="13">
        <v>-36</v>
      </c>
      <c r="R54" s="13">
        <v>0</v>
      </c>
      <c r="S54" s="13">
        <v>0</v>
      </c>
      <c r="T54" s="13">
        <v>0</v>
      </c>
      <c r="U54" s="13">
        <v>0</v>
      </c>
      <c r="V54" s="13">
        <v>-78</v>
      </c>
      <c r="W54" s="13">
        <v>0</v>
      </c>
      <c r="X54" s="13">
        <v>-32</v>
      </c>
      <c r="Y54" s="13">
        <v>0</v>
      </c>
      <c r="Z54" s="13">
        <v>1290</v>
      </c>
      <c r="AA54" s="13"/>
      <c r="AB54" s="13">
        <v>0</v>
      </c>
      <c r="AC54" s="13">
        <v>0</v>
      </c>
      <c r="AD54" s="13" t="s">
        <v>62</v>
      </c>
      <c r="AE54" s="13" t="s">
        <v>63</v>
      </c>
      <c r="AF54" s="13"/>
      <c r="AG54" s="13">
        <v>0</v>
      </c>
      <c r="AH54" s="13">
        <v>0</v>
      </c>
      <c r="AI54" s="13">
        <v>0</v>
      </c>
      <c r="AJ54" s="13">
        <v>0</v>
      </c>
      <c r="AK54" s="13">
        <v>0</v>
      </c>
    </row>
    <row r="55" spans="1:37" x14ac:dyDescent="0.15">
      <c r="A55" s="13">
        <v>49</v>
      </c>
      <c r="B55" s="13" t="s">
        <v>179</v>
      </c>
      <c r="C55" s="13"/>
      <c r="D55" s="13" t="s">
        <v>180</v>
      </c>
      <c r="E55" s="13" t="s">
        <v>109</v>
      </c>
      <c r="F55" s="13" t="s">
        <v>60</v>
      </c>
      <c r="G55" s="13" t="s">
        <v>61</v>
      </c>
      <c r="H55" s="13" t="s">
        <v>135</v>
      </c>
      <c r="I55" s="13">
        <v>320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10</v>
      </c>
      <c r="P55" s="13">
        <v>120</v>
      </c>
      <c r="Q55" s="13">
        <v>-130</v>
      </c>
      <c r="R55" s="13">
        <v>0</v>
      </c>
      <c r="S55" s="13">
        <v>0</v>
      </c>
      <c r="T55" s="13">
        <v>0</v>
      </c>
      <c r="U55" s="13">
        <v>0</v>
      </c>
      <c r="V55" s="13">
        <v>-14</v>
      </c>
      <c r="W55" s="13">
        <v>0</v>
      </c>
      <c r="X55" s="13">
        <v>-7</v>
      </c>
      <c r="Y55" s="13">
        <v>0</v>
      </c>
      <c r="Z55" s="13">
        <v>299</v>
      </c>
      <c r="AA55" s="13"/>
      <c r="AB55" s="13">
        <v>0</v>
      </c>
      <c r="AC55" s="13">
        <v>0</v>
      </c>
      <c r="AD55" s="13" t="s">
        <v>62</v>
      </c>
      <c r="AE55" s="13" t="s">
        <v>93</v>
      </c>
      <c r="AF55" s="13"/>
      <c r="AG55" s="13">
        <v>0</v>
      </c>
      <c r="AH55" s="13">
        <v>0</v>
      </c>
      <c r="AI55" s="13">
        <v>0</v>
      </c>
      <c r="AJ55" s="13">
        <v>0</v>
      </c>
      <c r="AK55" s="13">
        <v>0</v>
      </c>
    </row>
    <row r="56" spans="1:37" x14ac:dyDescent="0.15">
      <c r="A56" s="13">
        <v>50</v>
      </c>
      <c r="B56" s="13" t="s">
        <v>181</v>
      </c>
      <c r="C56" s="13"/>
      <c r="D56" s="13" t="s">
        <v>182</v>
      </c>
      <c r="E56" s="13" t="s">
        <v>70</v>
      </c>
      <c r="F56" s="13" t="s">
        <v>60</v>
      </c>
      <c r="G56" s="13" t="s">
        <v>61</v>
      </c>
      <c r="H56" s="13" t="s">
        <v>135</v>
      </c>
      <c r="I56" s="13">
        <v>640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16</v>
      </c>
      <c r="P56" s="13">
        <v>124</v>
      </c>
      <c r="Q56" s="13">
        <v>-140</v>
      </c>
      <c r="R56" s="13">
        <v>0</v>
      </c>
      <c r="S56" s="13">
        <v>0</v>
      </c>
      <c r="T56" s="13">
        <v>0</v>
      </c>
      <c r="U56" s="13">
        <v>0</v>
      </c>
      <c r="V56" s="13">
        <v>-36</v>
      </c>
      <c r="W56" s="13">
        <v>0</v>
      </c>
      <c r="X56" s="13">
        <v>-15</v>
      </c>
      <c r="Y56" s="13">
        <v>0</v>
      </c>
      <c r="Z56" s="13">
        <v>589</v>
      </c>
      <c r="AA56" s="13"/>
      <c r="AB56" s="13">
        <v>0</v>
      </c>
      <c r="AC56" s="13">
        <v>0</v>
      </c>
      <c r="AD56" s="13" t="s">
        <v>62</v>
      </c>
      <c r="AE56" s="13" t="s">
        <v>63</v>
      </c>
      <c r="AF56" s="13"/>
      <c r="AG56" s="13">
        <v>0</v>
      </c>
      <c r="AH56" s="13">
        <v>0</v>
      </c>
      <c r="AI56" s="13">
        <v>0</v>
      </c>
      <c r="AJ56" s="13">
        <v>0</v>
      </c>
      <c r="AK56" s="13">
        <v>0</v>
      </c>
    </row>
    <row r="57" spans="1:37" x14ac:dyDescent="0.15">
      <c r="A57" s="13">
        <v>51</v>
      </c>
      <c r="B57" s="13" t="s">
        <v>183</v>
      </c>
      <c r="C57" s="13"/>
      <c r="D57" s="13" t="s">
        <v>184</v>
      </c>
      <c r="E57" s="13" t="s">
        <v>90</v>
      </c>
      <c r="F57" s="13" t="s">
        <v>60</v>
      </c>
      <c r="G57" s="13" t="s">
        <v>61</v>
      </c>
      <c r="H57" s="13" t="s">
        <v>135</v>
      </c>
      <c r="I57" s="13">
        <v>1700</v>
      </c>
      <c r="J57" s="13">
        <v>-85</v>
      </c>
      <c r="K57" s="13">
        <v>0</v>
      </c>
      <c r="L57" s="13">
        <v>0</v>
      </c>
      <c r="M57" s="13">
        <v>0</v>
      </c>
      <c r="N57" s="13">
        <v>0</v>
      </c>
      <c r="O57" s="13">
        <v>50</v>
      </c>
      <c r="P57" s="13">
        <v>0</v>
      </c>
      <c r="Q57" s="13">
        <v>-50</v>
      </c>
      <c r="R57" s="13">
        <v>0</v>
      </c>
      <c r="S57" s="13">
        <v>0</v>
      </c>
      <c r="T57" s="13">
        <v>0</v>
      </c>
      <c r="U57" s="13">
        <v>0</v>
      </c>
      <c r="V57" s="13">
        <v>-90</v>
      </c>
      <c r="W57" s="13">
        <v>0</v>
      </c>
      <c r="X57" s="13">
        <v>-37</v>
      </c>
      <c r="Y57" s="13">
        <v>0</v>
      </c>
      <c r="Z57" s="13">
        <v>1488</v>
      </c>
      <c r="AA57" s="13"/>
      <c r="AB57" s="13">
        <v>0</v>
      </c>
      <c r="AC57" s="13">
        <v>0</v>
      </c>
      <c r="AD57" s="13" t="s">
        <v>62</v>
      </c>
      <c r="AE57" s="13" t="s">
        <v>63</v>
      </c>
      <c r="AF57" s="13"/>
      <c r="AG57" s="13">
        <v>0</v>
      </c>
      <c r="AH57" s="13">
        <v>0</v>
      </c>
      <c r="AI57" s="13">
        <v>0</v>
      </c>
      <c r="AJ57" s="13">
        <v>0</v>
      </c>
      <c r="AK57" s="13">
        <v>0</v>
      </c>
    </row>
    <row r="58" spans="1:37" x14ac:dyDescent="0.15">
      <c r="A58" s="13">
        <v>52</v>
      </c>
      <c r="B58" s="13" t="s">
        <v>185</v>
      </c>
      <c r="C58" s="13"/>
      <c r="D58" s="13" t="s">
        <v>186</v>
      </c>
      <c r="E58" s="13" t="s">
        <v>124</v>
      </c>
      <c r="F58" s="13" t="s">
        <v>60</v>
      </c>
      <c r="G58" s="13" t="s">
        <v>61</v>
      </c>
      <c r="H58" s="13" t="s">
        <v>187</v>
      </c>
      <c r="I58" s="13">
        <v>320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58</v>
      </c>
      <c r="Q58" s="13">
        <v>-58</v>
      </c>
      <c r="R58" s="13">
        <v>0</v>
      </c>
      <c r="S58" s="13">
        <v>0</v>
      </c>
      <c r="T58" s="13">
        <v>0</v>
      </c>
      <c r="U58" s="13">
        <v>0</v>
      </c>
      <c r="V58" s="13">
        <v>-18</v>
      </c>
      <c r="W58" s="13">
        <v>0</v>
      </c>
      <c r="X58" s="13">
        <v>-7</v>
      </c>
      <c r="Y58" s="13">
        <v>0</v>
      </c>
      <c r="Z58" s="13">
        <v>295</v>
      </c>
      <c r="AA58" s="13"/>
      <c r="AB58" s="13">
        <v>0</v>
      </c>
      <c r="AC58" s="13">
        <v>0</v>
      </c>
      <c r="AD58" s="13" t="s">
        <v>62</v>
      </c>
      <c r="AE58" s="13" t="s">
        <v>63</v>
      </c>
      <c r="AF58" s="13"/>
      <c r="AG58" s="13">
        <v>0</v>
      </c>
      <c r="AH58" s="13">
        <v>0</v>
      </c>
      <c r="AI58" s="13">
        <v>0</v>
      </c>
      <c r="AJ58" s="13">
        <v>0</v>
      </c>
      <c r="AK58" s="13">
        <v>0</v>
      </c>
    </row>
    <row r="59" spans="1:37" x14ac:dyDescent="0.15">
      <c r="A59" s="13">
        <v>53</v>
      </c>
      <c r="B59" s="13" t="s">
        <v>188</v>
      </c>
      <c r="C59" s="13"/>
      <c r="D59" s="13" t="s">
        <v>189</v>
      </c>
      <c r="E59" s="13" t="s">
        <v>85</v>
      </c>
      <c r="F59" s="13" t="s">
        <v>60</v>
      </c>
      <c r="G59" s="13" t="s">
        <v>61</v>
      </c>
      <c r="H59" s="13" t="s">
        <v>187</v>
      </c>
      <c r="I59" s="13">
        <v>650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37</v>
      </c>
      <c r="P59" s="13">
        <v>140</v>
      </c>
      <c r="Q59" s="13">
        <v>-177</v>
      </c>
      <c r="R59" s="13">
        <v>0</v>
      </c>
      <c r="S59" s="13">
        <v>0</v>
      </c>
      <c r="T59" s="13">
        <v>0</v>
      </c>
      <c r="U59" s="13">
        <v>0</v>
      </c>
      <c r="V59" s="13">
        <v>-29</v>
      </c>
      <c r="W59" s="13">
        <v>0</v>
      </c>
      <c r="X59" s="13">
        <v>-15</v>
      </c>
      <c r="Y59" s="13">
        <v>0</v>
      </c>
      <c r="Z59" s="13">
        <v>606</v>
      </c>
      <c r="AA59" s="13"/>
      <c r="AB59" s="13">
        <v>0</v>
      </c>
      <c r="AC59" s="13">
        <v>0</v>
      </c>
      <c r="AD59" s="13" t="s">
        <v>62</v>
      </c>
      <c r="AE59" s="13" t="s">
        <v>67</v>
      </c>
      <c r="AF59" s="13"/>
      <c r="AG59" s="13">
        <v>0</v>
      </c>
      <c r="AH59" s="13">
        <v>0</v>
      </c>
      <c r="AI59" s="13">
        <v>0</v>
      </c>
      <c r="AJ59" s="13">
        <v>0</v>
      </c>
      <c r="AK59" s="13">
        <v>0</v>
      </c>
    </row>
    <row r="60" spans="1:37" x14ac:dyDescent="0.15">
      <c r="A60" s="13">
        <v>54</v>
      </c>
      <c r="B60" s="13" t="s">
        <v>190</v>
      </c>
      <c r="C60" s="13"/>
      <c r="D60" s="13" t="s">
        <v>191</v>
      </c>
      <c r="E60" s="13" t="s">
        <v>124</v>
      </c>
      <c r="F60" s="13" t="s">
        <v>60</v>
      </c>
      <c r="G60" s="13" t="s">
        <v>61</v>
      </c>
      <c r="H60" s="13" t="s">
        <v>187</v>
      </c>
      <c r="I60" s="13">
        <v>450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58</v>
      </c>
      <c r="Q60" s="13">
        <v>-58</v>
      </c>
      <c r="R60" s="13">
        <v>0</v>
      </c>
      <c r="S60" s="13">
        <v>0</v>
      </c>
      <c r="T60" s="13">
        <v>0</v>
      </c>
      <c r="U60" s="13">
        <v>0</v>
      </c>
      <c r="V60" s="13">
        <v>-25</v>
      </c>
      <c r="W60" s="13">
        <v>0</v>
      </c>
      <c r="X60" s="13">
        <v>-10</v>
      </c>
      <c r="Y60" s="13">
        <v>0</v>
      </c>
      <c r="Z60" s="13">
        <v>415</v>
      </c>
      <c r="AA60" s="13"/>
      <c r="AB60" s="13">
        <v>0</v>
      </c>
      <c r="AC60" s="13">
        <v>0</v>
      </c>
      <c r="AD60" s="13" t="s">
        <v>62</v>
      </c>
      <c r="AE60" s="13" t="s">
        <v>67</v>
      </c>
      <c r="AF60" s="13"/>
      <c r="AG60" s="13">
        <v>0</v>
      </c>
      <c r="AH60" s="13">
        <v>0</v>
      </c>
      <c r="AI60" s="13">
        <v>0</v>
      </c>
      <c r="AJ60" s="13">
        <v>0</v>
      </c>
      <c r="AK60" s="13">
        <v>0</v>
      </c>
    </row>
    <row r="61" spans="1:37" x14ac:dyDescent="0.15">
      <c r="A61" s="13">
        <v>55</v>
      </c>
      <c r="B61" s="13" t="s">
        <v>192</v>
      </c>
      <c r="C61" s="13"/>
      <c r="D61" s="13" t="s">
        <v>193</v>
      </c>
      <c r="E61" s="13" t="s">
        <v>173</v>
      </c>
      <c r="F61" s="13" t="s">
        <v>60</v>
      </c>
      <c r="G61" s="13" t="s">
        <v>61</v>
      </c>
      <c r="H61" s="13" t="s">
        <v>187</v>
      </c>
      <c r="I61" s="13">
        <v>125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36</v>
      </c>
      <c r="Q61" s="13">
        <v>-36</v>
      </c>
      <c r="R61" s="13">
        <v>0</v>
      </c>
      <c r="S61" s="13">
        <v>0</v>
      </c>
      <c r="T61" s="13">
        <v>0</v>
      </c>
      <c r="U61" s="13">
        <v>0</v>
      </c>
      <c r="V61" s="13">
        <v>-7</v>
      </c>
      <c r="W61" s="13">
        <v>0</v>
      </c>
      <c r="X61" s="13">
        <v>-3</v>
      </c>
      <c r="Y61" s="13">
        <v>0</v>
      </c>
      <c r="Z61" s="13">
        <v>115</v>
      </c>
      <c r="AA61" s="13"/>
      <c r="AB61" s="13">
        <v>0</v>
      </c>
      <c r="AC61" s="13">
        <v>0</v>
      </c>
      <c r="AD61" s="13" t="s">
        <v>62</v>
      </c>
      <c r="AE61" s="13" t="s">
        <v>67</v>
      </c>
      <c r="AF61" s="13"/>
      <c r="AG61" s="13">
        <v>0</v>
      </c>
      <c r="AH61" s="13">
        <v>0</v>
      </c>
      <c r="AI61" s="13">
        <v>0</v>
      </c>
      <c r="AJ61" s="13">
        <v>0</v>
      </c>
      <c r="AK61" s="13">
        <v>0</v>
      </c>
    </row>
    <row r="62" spans="1:37" x14ac:dyDescent="0.15">
      <c r="A62" s="13">
        <v>56</v>
      </c>
      <c r="B62" s="13" t="s">
        <v>194</v>
      </c>
      <c r="C62" s="13"/>
      <c r="D62" s="13" t="s">
        <v>195</v>
      </c>
      <c r="E62" s="13" t="s">
        <v>168</v>
      </c>
      <c r="F62" s="13" t="s">
        <v>60</v>
      </c>
      <c r="G62" s="13" t="s">
        <v>61</v>
      </c>
      <c r="H62" s="13" t="s">
        <v>187</v>
      </c>
      <c r="I62" s="13">
        <v>340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20</v>
      </c>
      <c r="P62" s="13">
        <v>120</v>
      </c>
      <c r="Q62" s="13">
        <v>-140</v>
      </c>
      <c r="R62" s="13">
        <v>0</v>
      </c>
      <c r="S62" s="13">
        <v>0</v>
      </c>
      <c r="T62" s="13">
        <v>0</v>
      </c>
      <c r="U62" s="13">
        <v>0</v>
      </c>
      <c r="V62" s="13">
        <v>-19</v>
      </c>
      <c r="W62" s="13">
        <v>0</v>
      </c>
      <c r="X62" s="13">
        <v>-8</v>
      </c>
      <c r="Y62" s="13">
        <v>0</v>
      </c>
      <c r="Z62" s="13">
        <v>313</v>
      </c>
      <c r="AA62" s="13"/>
      <c r="AB62" s="13">
        <v>0</v>
      </c>
      <c r="AC62" s="13">
        <v>0</v>
      </c>
      <c r="AD62" s="13" t="s">
        <v>62</v>
      </c>
      <c r="AE62" s="13" t="s">
        <v>67</v>
      </c>
      <c r="AF62" s="13"/>
      <c r="AG62" s="13">
        <v>0</v>
      </c>
      <c r="AH62" s="13">
        <v>0</v>
      </c>
      <c r="AI62" s="13">
        <v>0</v>
      </c>
      <c r="AJ62" s="13">
        <v>0</v>
      </c>
      <c r="AK62" s="13">
        <v>0</v>
      </c>
    </row>
    <row r="63" spans="1:37" x14ac:dyDescent="0.15">
      <c r="A63" s="13">
        <v>57</v>
      </c>
      <c r="B63" s="13" t="s">
        <v>196</v>
      </c>
      <c r="C63" s="13"/>
      <c r="D63" s="13" t="s">
        <v>197</v>
      </c>
      <c r="E63" s="13" t="s">
        <v>90</v>
      </c>
      <c r="F63" s="13" t="s">
        <v>60</v>
      </c>
      <c r="G63" s="13" t="s">
        <v>61</v>
      </c>
      <c r="H63" s="13" t="s">
        <v>187</v>
      </c>
      <c r="I63" s="13">
        <v>320</v>
      </c>
      <c r="J63" s="13">
        <v>-16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100</v>
      </c>
      <c r="Q63" s="13">
        <v>-100</v>
      </c>
      <c r="R63" s="13">
        <v>0</v>
      </c>
      <c r="S63" s="13">
        <v>0</v>
      </c>
      <c r="T63" s="13">
        <v>0</v>
      </c>
      <c r="U63" s="13">
        <v>0</v>
      </c>
      <c r="V63" s="13">
        <v>-17</v>
      </c>
      <c r="W63" s="13">
        <v>0</v>
      </c>
      <c r="X63" s="13">
        <v>-7</v>
      </c>
      <c r="Y63" s="13">
        <v>0</v>
      </c>
      <c r="Z63" s="13">
        <v>280</v>
      </c>
      <c r="AA63" s="13"/>
      <c r="AB63" s="13">
        <v>0</v>
      </c>
      <c r="AC63" s="13">
        <v>0</v>
      </c>
      <c r="AD63" s="13" t="s">
        <v>62</v>
      </c>
      <c r="AE63" s="13" t="s">
        <v>67</v>
      </c>
      <c r="AF63" s="13"/>
      <c r="AG63" s="13">
        <v>0</v>
      </c>
      <c r="AH63" s="13">
        <v>0</v>
      </c>
      <c r="AI63" s="13">
        <v>0</v>
      </c>
      <c r="AJ63" s="13">
        <v>0</v>
      </c>
      <c r="AK63" s="13">
        <v>0</v>
      </c>
    </row>
    <row r="64" spans="1:37" x14ac:dyDescent="0.15">
      <c r="A64" s="13">
        <v>58</v>
      </c>
      <c r="B64" s="13" t="s">
        <v>198</v>
      </c>
      <c r="C64" s="13"/>
      <c r="D64" s="13" t="s">
        <v>199</v>
      </c>
      <c r="E64" s="13" t="s">
        <v>131</v>
      </c>
      <c r="F64" s="13" t="s">
        <v>60</v>
      </c>
      <c r="G64" s="13" t="s">
        <v>61</v>
      </c>
      <c r="H64" s="13" t="s">
        <v>187</v>
      </c>
      <c r="I64" s="13">
        <v>1600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50</v>
      </c>
      <c r="P64" s="13">
        <v>210</v>
      </c>
      <c r="Q64" s="13">
        <v>-260</v>
      </c>
      <c r="R64" s="13">
        <v>0</v>
      </c>
      <c r="S64" s="13">
        <v>0</v>
      </c>
      <c r="T64" s="13">
        <v>0</v>
      </c>
      <c r="U64" s="13">
        <v>0</v>
      </c>
      <c r="V64" s="13">
        <v>-90</v>
      </c>
      <c r="W64" s="13">
        <v>0</v>
      </c>
      <c r="X64" s="13">
        <v>-37</v>
      </c>
      <c r="Y64" s="13">
        <v>0</v>
      </c>
      <c r="Z64" s="13">
        <v>1473</v>
      </c>
      <c r="AA64" s="13"/>
      <c r="AB64" s="13">
        <v>0</v>
      </c>
      <c r="AC64" s="13">
        <v>0</v>
      </c>
      <c r="AD64" s="13" t="s">
        <v>62</v>
      </c>
      <c r="AE64" s="13" t="s">
        <v>67</v>
      </c>
      <c r="AF64" s="13"/>
      <c r="AG64" s="13">
        <v>0</v>
      </c>
      <c r="AH64" s="13">
        <v>0</v>
      </c>
      <c r="AI64" s="13">
        <v>0</v>
      </c>
      <c r="AJ64" s="13">
        <v>0</v>
      </c>
      <c r="AK64" s="13">
        <v>0</v>
      </c>
    </row>
    <row r="65" spans="1:37" x14ac:dyDescent="0.15">
      <c r="A65" s="13">
        <v>59</v>
      </c>
      <c r="B65" s="13" t="s">
        <v>200</v>
      </c>
      <c r="C65" s="13"/>
      <c r="D65" s="13" t="s">
        <v>201</v>
      </c>
      <c r="E65" s="13" t="s">
        <v>90</v>
      </c>
      <c r="F65" s="13" t="s">
        <v>60</v>
      </c>
      <c r="G65" s="13" t="s">
        <v>61</v>
      </c>
      <c r="H65" s="13" t="s">
        <v>187</v>
      </c>
      <c r="I65" s="13">
        <v>1550</v>
      </c>
      <c r="J65" s="13">
        <v>-78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58</v>
      </c>
      <c r="Q65" s="13">
        <v>-58</v>
      </c>
      <c r="R65" s="13">
        <v>0</v>
      </c>
      <c r="S65" s="13">
        <v>0</v>
      </c>
      <c r="T65" s="13">
        <v>0</v>
      </c>
      <c r="U65" s="13">
        <v>0</v>
      </c>
      <c r="V65" s="13">
        <v>-82</v>
      </c>
      <c r="W65" s="13">
        <v>0</v>
      </c>
      <c r="X65" s="13">
        <v>-33</v>
      </c>
      <c r="Y65" s="13">
        <v>0</v>
      </c>
      <c r="Z65" s="13">
        <v>1357</v>
      </c>
      <c r="AA65" s="13"/>
      <c r="AB65" s="13">
        <v>0</v>
      </c>
      <c r="AC65" s="13">
        <v>0</v>
      </c>
      <c r="AD65" s="13" t="s">
        <v>62</v>
      </c>
      <c r="AE65" s="13" t="s">
        <v>67</v>
      </c>
      <c r="AF65" s="13"/>
      <c r="AG65" s="13">
        <v>0</v>
      </c>
      <c r="AH65" s="13">
        <v>0</v>
      </c>
      <c r="AI65" s="13">
        <v>0</v>
      </c>
      <c r="AJ65" s="13">
        <v>0</v>
      </c>
      <c r="AK65" s="13">
        <v>0</v>
      </c>
    </row>
    <row r="66" spans="1:37" x14ac:dyDescent="0.15">
      <c r="A66" s="13">
        <v>60</v>
      </c>
      <c r="B66" s="13" t="s">
        <v>202</v>
      </c>
      <c r="C66" s="13"/>
      <c r="D66" s="13" t="s">
        <v>203</v>
      </c>
      <c r="E66" s="13" t="s">
        <v>173</v>
      </c>
      <c r="F66" s="13" t="s">
        <v>60</v>
      </c>
      <c r="G66" s="13" t="s">
        <v>61</v>
      </c>
      <c r="H66" s="13" t="s">
        <v>187</v>
      </c>
      <c r="I66" s="13">
        <v>300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58</v>
      </c>
      <c r="Q66" s="13">
        <v>-58</v>
      </c>
      <c r="R66" s="13">
        <v>0</v>
      </c>
      <c r="S66" s="13">
        <v>0</v>
      </c>
      <c r="T66" s="13">
        <v>0</v>
      </c>
      <c r="U66" s="13">
        <v>0</v>
      </c>
      <c r="V66" s="13">
        <v>-17</v>
      </c>
      <c r="W66" s="13">
        <v>0</v>
      </c>
      <c r="X66" s="13">
        <v>-7</v>
      </c>
      <c r="Y66" s="13">
        <v>0</v>
      </c>
      <c r="Z66" s="13">
        <v>276</v>
      </c>
      <c r="AA66" s="13"/>
      <c r="AB66" s="13">
        <v>0</v>
      </c>
      <c r="AC66" s="13">
        <v>0</v>
      </c>
      <c r="AD66" s="13" t="s">
        <v>62</v>
      </c>
      <c r="AE66" s="13" t="s">
        <v>67</v>
      </c>
      <c r="AF66" s="13"/>
      <c r="AG66" s="13">
        <v>0</v>
      </c>
      <c r="AH66" s="13">
        <v>0</v>
      </c>
      <c r="AI66" s="13">
        <v>0</v>
      </c>
      <c r="AJ66" s="13">
        <v>0</v>
      </c>
      <c r="AK66" s="13">
        <v>0</v>
      </c>
    </row>
    <row r="67" spans="1:37" x14ac:dyDescent="0.15">
      <c r="A67" s="13">
        <v>61</v>
      </c>
      <c r="B67" s="13" t="s">
        <v>204</v>
      </c>
      <c r="C67" s="13"/>
      <c r="D67" s="13" t="s">
        <v>205</v>
      </c>
      <c r="E67" s="13" t="s">
        <v>124</v>
      </c>
      <c r="F67" s="13" t="s">
        <v>60</v>
      </c>
      <c r="G67" s="13" t="s">
        <v>61</v>
      </c>
      <c r="H67" s="13" t="s">
        <v>187</v>
      </c>
      <c r="I67" s="13">
        <v>340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58</v>
      </c>
      <c r="Q67" s="13">
        <v>-58</v>
      </c>
      <c r="R67" s="13">
        <v>0</v>
      </c>
      <c r="S67" s="13">
        <v>0</v>
      </c>
      <c r="T67" s="13">
        <v>0</v>
      </c>
      <c r="U67" s="13">
        <v>0</v>
      </c>
      <c r="V67" s="13">
        <v>-19</v>
      </c>
      <c r="W67" s="13">
        <v>0</v>
      </c>
      <c r="X67" s="13">
        <v>-8</v>
      </c>
      <c r="Y67" s="13">
        <v>0</v>
      </c>
      <c r="Z67" s="13">
        <v>313</v>
      </c>
      <c r="AA67" s="13"/>
      <c r="AB67" s="13">
        <v>0</v>
      </c>
      <c r="AC67" s="13">
        <v>0</v>
      </c>
      <c r="AD67" s="13" t="s">
        <v>62</v>
      </c>
      <c r="AE67" s="13" t="s">
        <v>67</v>
      </c>
      <c r="AF67" s="13"/>
      <c r="AG67" s="13">
        <v>0</v>
      </c>
      <c r="AH67" s="13">
        <v>0</v>
      </c>
      <c r="AI67" s="13">
        <v>0</v>
      </c>
      <c r="AJ67" s="13">
        <v>0</v>
      </c>
      <c r="AK67" s="13">
        <v>0</v>
      </c>
    </row>
    <row r="68" spans="1:37" x14ac:dyDescent="0.15">
      <c r="A68" s="13">
        <v>62</v>
      </c>
      <c r="B68" s="13" t="s">
        <v>206</v>
      </c>
      <c r="C68" s="13"/>
      <c r="D68" s="13" t="s">
        <v>207</v>
      </c>
      <c r="E68" s="13" t="s">
        <v>208</v>
      </c>
      <c r="F68" s="13" t="s">
        <v>60</v>
      </c>
      <c r="G68" s="13" t="s">
        <v>61</v>
      </c>
      <c r="H68" s="13" t="s">
        <v>209</v>
      </c>
      <c r="I68" s="13">
        <v>400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58</v>
      </c>
      <c r="Q68" s="13">
        <v>-58</v>
      </c>
      <c r="R68" s="13">
        <v>0</v>
      </c>
      <c r="S68" s="13">
        <v>0</v>
      </c>
      <c r="T68" s="13">
        <v>0</v>
      </c>
      <c r="U68" s="13">
        <v>0</v>
      </c>
      <c r="V68" s="13">
        <v>-22</v>
      </c>
      <c r="W68" s="13">
        <v>0</v>
      </c>
      <c r="X68" s="13">
        <v>-9</v>
      </c>
      <c r="Y68" s="13">
        <v>0</v>
      </c>
      <c r="Z68" s="13">
        <v>369</v>
      </c>
      <c r="AA68" s="13"/>
      <c r="AB68" s="13">
        <v>0</v>
      </c>
      <c r="AC68" s="13">
        <v>0</v>
      </c>
      <c r="AD68" s="13" t="s">
        <v>62</v>
      </c>
      <c r="AE68" s="13" t="s">
        <v>67</v>
      </c>
      <c r="AF68" s="13"/>
      <c r="AG68" s="13">
        <v>0</v>
      </c>
      <c r="AH68" s="13">
        <v>0</v>
      </c>
      <c r="AI68" s="13">
        <v>0</v>
      </c>
      <c r="AJ68" s="13">
        <v>0</v>
      </c>
      <c r="AK68" s="13">
        <v>0</v>
      </c>
    </row>
    <row r="69" spans="1:37" x14ac:dyDescent="0.15">
      <c r="A69" s="13">
        <v>63</v>
      </c>
      <c r="B69" s="13" t="s">
        <v>210</v>
      </c>
      <c r="C69" s="13"/>
      <c r="D69" s="13" t="s">
        <v>211</v>
      </c>
      <c r="E69" s="13" t="s">
        <v>208</v>
      </c>
      <c r="F69" s="13" t="s">
        <v>60</v>
      </c>
      <c r="G69" s="13" t="s">
        <v>61</v>
      </c>
      <c r="H69" s="13" t="s">
        <v>209</v>
      </c>
      <c r="I69" s="13">
        <v>300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58</v>
      </c>
      <c r="Q69" s="13">
        <v>-58</v>
      </c>
      <c r="R69" s="13">
        <v>0</v>
      </c>
      <c r="S69" s="13">
        <v>0</v>
      </c>
      <c r="T69" s="13">
        <v>0</v>
      </c>
      <c r="U69" s="13">
        <v>0</v>
      </c>
      <c r="V69" s="13">
        <v>-17</v>
      </c>
      <c r="W69" s="13">
        <v>0</v>
      </c>
      <c r="X69" s="13">
        <v>-7</v>
      </c>
      <c r="Y69" s="13">
        <v>0</v>
      </c>
      <c r="Z69" s="13">
        <v>276</v>
      </c>
      <c r="AA69" s="13"/>
      <c r="AB69" s="13">
        <v>0</v>
      </c>
      <c r="AC69" s="13">
        <v>0</v>
      </c>
      <c r="AD69" s="13" t="s">
        <v>62</v>
      </c>
      <c r="AE69" s="13" t="s">
        <v>67</v>
      </c>
      <c r="AF69" s="13"/>
      <c r="AG69" s="13">
        <v>0</v>
      </c>
      <c r="AH69" s="13">
        <v>0</v>
      </c>
      <c r="AI69" s="13">
        <v>0</v>
      </c>
      <c r="AJ69" s="13">
        <v>0</v>
      </c>
      <c r="AK69" s="13">
        <v>0</v>
      </c>
    </row>
    <row r="70" spans="1:37" x14ac:dyDescent="0.15">
      <c r="A70" s="13">
        <v>64</v>
      </c>
      <c r="B70" s="13" t="s">
        <v>212</v>
      </c>
      <c r="C70" s="13"/>
      <c r="D70" s="13" t="s">
        <v>213</v>
      </c>
      <c r="E70" s="13" t="s">
        <v>131</v>
      </c>
      <c r="F70" s="13" t="s">
        <v>60</v>
      </c>
      <c r="G70" s="13" t="s">
        <v>61</v>
      </c>
      <c r="H70" s="13" t="s">
        <v>209</v>
      </c>
      <c r="I70" s="13">
        <v>320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20</v>
      </c>
      <c r="P70" s="13">
        <v>120</v>
      </c>
      <c r="Q70" s="13">
        <v>-140</v>
      </c>
      <c r="R70" s="13">
        <v>0</v>
      </c>
      <c r="S70" s="13">
        <v>0</v>
      </c>
      <c r="T70" s="13">
        <v>0</v>
      </c>
      <c r="U70" s="13">
        <v>0</v>
      </c>
      <c r="V70" s="13">
        <v>-18</v>
      </c>
      <c r="W70" s="13">
        <v>0</v>
      </c>
      <c r="X70" s="13">
        <v>-8</v>
      </c>
      <c r="Y70" s="13">
        <v>0</v>
      </c>
      <c r="Z70" s="13">
        <v>294</v>
      </c>
      <c r="AA70" s="13"/>
      <c r="AB70" s="13">
        <v>0</v>
      </c>
      <c r="AC70" s="13">
        <v>0</v>
      </c>
      <c r="AD70" s="13" t="s">
        <v>62</v>
      </c>
      <c r="AE70" s="13" t="s">
        <v>63</v>
      </c>
      <c r="AF70" s="13"/>
      <c r="AG70" s="13">
        <v>0</v>
      </c>
      <c r="AH70" s="13">
        <v>0</v>
      </c>
      <c r="AI70" s="13">
        <v>0</v>
      </c>
      <c r="AJ70" s="13">
        <v>0</v>
      </c>
      <c r="AK70" s="13">
        <v>0</v>
      </c>
    </row>
    <row r="71" spans="1:37" x14ac:dyDescent="0.15">
      <c r="A71" s="13">
        <v>65</v>
      </c>
      <c r="B71" s="13" t="s">
        <v>214</v>
      </c>
      <c r="C71" s="13"/>
      <c r="D71" s="13" t="s">
        <v>215</v>
      </c>
      <c r="E71" s="13" t="s">
        <v>208</v>
      </c>
      <c r="F71" s="13" t="s">
        <v>60</v>
      </c>
      <c r="G71" s="13" t="s">
        <v>61</v>
      </c>
      <c r="H71" s="13" t="s">
        <v>209</v>
      </c>
      <c r="I71" s="13">
        <v>760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58</v>
      </c>
      <c r="Q71" s="13">
        <v>-58</v>
      </c>
      <c r="R71" s="13">
        <v>0</v>
      </c>
      <c r="S71" s="13">
        <v>0</v>
      </c>
      <c r="T71" s="13">
        <v>0</v>
      </c>
      <c r="U71" s="13">
        <v>0</v>
      </c>
      <c r="V71" s="13">
        <v>-43</v>
      </c>
      <c r="W71" s="13">
        <v>0</v>
      </c>
      <c r="X71" s="13">
        <v>-17</v>
      </c>
      <c r="Y71" s="13">
        <v>0</v>
      </c>
      <c r="Z71" s="13">
        <v>700</v>
      </c>
      <c r="AA71" s="13"/>
      <c r="AB71" s="13">
        <v>0</v>
      </c>
      <c r="AC71" s="13">
        <v>0</v>
      </c>
      <c r="AD71" s="13" t="s">
        <v>62</v>
      </c>
      <c r="AE71" s="13" t="s">
        <v>67</v>
      </c>
      <c r="AF71" s="13"/>
      <c r="AG71" s="13">
        <v>0</v>
      </c>
      <c r="AH71" s="13">
        <v>0</v>
      </c>
      <c r="AI71" s="13">
        <v>0</v>
      </c>
      <c r="AJ71" s="13">
        <v>0</v>
      </c>
      <c r="AK71" s="13">
        <v>0</v>
      </c>
    </row>
    <row r="72" spans="1:37" x14ac:dyDescent="0.15">
      <c r="A72" s="13">
        <v>66</v>
      </c>
      <c r="B72" s="13" t="s">
        <v>216</v>
      </c>
      <c r="C72" s="13"/>
      <c r="D72" s="13" t="s">
        <v>217</v>
      </c>
      <c r="E72" s="13" t="s">
        <v>173</v>
      </c>
      <c r="F72" s="13" t="s">
        <v>60</v>
      </c>
      <c r="G72" s="13" t="s">
        <v>61</v>
      </c>
      <c r="H72" s="13" t="s">
        <v>209</v>
      </c>
      <c r="I72" s="13">
        <v>1550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141</v>
      </c>
      <c r="Q72" s="13">
        <v>-141</v>
      </c>
      <c r="R72" s="13">
        <v>0</v>
      </c>
      <c r="S72" s="13">
        <v>0</v>
      </c>
      <c r="T72" s="13">
        <v>0</v>
      </c>
      <c r="U72" s="13">
        <v>0</v>
      </c>
      <c r="V72" s="13">
        <v>-87</v>
      </c>
      <c r="W72" s="13">
        <v>0</v>
      </c>
      <c r="X72" s="13">
        <v>-35</v>
      </c>
      <c r="Y72" s="13">
        <v>0</v>
      </c>
      <c r="Z72" s="13">
        <v>1428</v>
      </c>
      <c r="AA72" s="13"/>
      <c r="AB72" s="13">
        <v>0</v>
      </c>
      <c r="AC72" s="13">
        <v>0</v>
      </c>
      <c r="AD72" s="13" t="s">
        <v>62</v>
      </c>
      <c r="AE72" s="13" t="s">
        <v>67</v>
      </c>
      <c r="AF72" s="13"/>
      <c r="AG72" s="13">
        <v>0</v>
      </c>
      <c r="AH72" s="13">
        <v>0</v>
      </c>
      <c r="AI72" s="13">
        <v>0</v>
      </c>
      <c r="AJ72" s="13">
        <v>0</v>
      </c>
      <c r="AK72" s="13">
        <v>0</v>
      </c>
    </row>
    <row r="73" spans="1:37" x14ac:dyDescent="0.15">
      <c r="A73" s="13">
        <v>67</v>
      </c>
      <c r="B73" s="13" t="s">
        <v>218</v>
      </c>
      <c r="C73" s="13"/>
      <c r="D73" s="13" t="s">
        <v>219</v>
      </c>
      <c r="E73" s="13" t="s">
        <v>124</v>
      </c>
      <c r="F73" s="13" t="s">
        <v>60</v>
      </c>
      <c r="G73" s="13" t="s">
        <v>61</v>
      </c>
      <c r="H73" s="13" t="s">
        <v>209</v>
      </c>
      <c r="I73" s="13">
        <v>1700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95</v>
      </c>
      <c r="Q73" s="13">
        <v>-95</v>
      </c>
      <c r="R73" s="13">
        <v>0</v>
      </c>
      <c r="S73" s="13">
        <v>0</v>
      </c>
      <c r="T73" s="13">
        <v>0</v>
      </c>
      <c r="U73" s="13">
        <v>0</v>
      </c>
      <c r="V73" s="13">
        <v>-95</v>
      </c>
      <c r="W73" s="13">
        <v>0</v>
      </c>
      <c r="X73" s="13">
        <v>-38</v>
      </c>
      <c r="Y73" s="13">
        <v>0</v>
      </c>
      <c r="Z73" s="13">
        <v>1567</v>
      </c>
      <c r="AA73" s="13"/>
      <c r="AB73" s="13">
        <v>0</v>
      </c>
      <c r="AC73" s="13">
        <v>0</v>
      </c>
      <c r="AD73" s="13" t="s">
        <v>62</v>
      </c>
      <c r="AE73" s="13" t="s">
        <v>67</v>
      </c>
      <c r="AF73" s="13"/>
      <c r="AG73" s="13">
        <v>0</v>
      </c>
      <c r="AH73" s="13">
        <v>0</v>
      </c>
      <c r="AI73" s="13">
        <v>0</v>
      </c>
      <c r="AJ73" s="13">
        <v>0</v>
      </c>
      <c r="AK73" s="13">
        <v>0</v>
      </c>
    </row>
    <row r="74" spans="1:37" x14ac:dyDescent="0.15">
      <c r="A74" s="13">
        <v>68</v>
      </c>
      <c r="B74" s="13" t="s">
        <v>220</v>
      </c>
      <c r="C74" s="13"/>
      <c r="D74" s="13" t="s">
        <v>221</v>
      </c>
      <c r="E74" s="13" t="s">
        <v>117</v>
      </c>
      <c r="F74" s="13" t="s">
        <v>60</v>
      </c>
      <c r="G74" s="13" t="s">
        <v>61</v>
      </c>
      <c r="H74" s="13" t="s">
        <v>209</v>
      </c>
      <c r="I74" s="13">
        <v>1500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115</v>
      </c>
      <c r="Q74" s="13">
        <v>-115</v>
      </c>
      <c r="R74" s="13">
        <v>0</v>
      </c>
      <c r="S74" s="13">
        <v>0</v>
      </c>
      <c r="T74" s="13">
        <v>0</v>
      </c>
      <c r="U74" s="13">
        <v>0</v>
      </c>
      <c r="V74" s="13">
        <v>-84</v>
      </c>
      <c r="W74" s="13">
        <v>0</v>
      </c>
      <c r="X74" s="13">
        <v>-34</v>
      </c>
      <c r="Y74" s="13">
        <v>0</v>
      </c>
      <c r="Z74" s="13">
        <v>1382</v>
      </c>
      <c r="AA74" s="13"/>
      <c r="AB74" s="13">
        <v>0</v>
      </c>
      <c r="AC74" s="13">
        <v>0</v>
      </c>
      <c r="AD74" s="13" t="s">
        <v>62</v>
      </c>
      <c r="AE74" s="13" t="s">
        <v>67</v>
      </c>
      <c r="AF74" s="13"/>
      <c r="AG74" s="13">
        <v>0</v>
      </c>
      <c r="AH74" s="13">
        <v>0</v>
      </c>
      <c r="AI74" s="13">
        <v>0</v>
      </c>
      <c r="AJ74" s="13">
        <v>0</v>
      </c>
      <c r="AK74" s="13">
        <v>0</v>
      </c>
    </row>
    <row r="75" spans="1:37" x14ac:dyDescent="0.15">
      <c r="A75" s="13">
        <v>69</v>
      </c>
      <c r="B75" s="13" t="s">
        <v>222</v>
      </c>
      <c r="C75" s="13"/>
      <c r="D75" s="13" t="s">
        <v>223</v>
      </c>
      <c r="E75" s="13" t="s">
        <v>173</v>
      </c>
      <c r="F75" s="13" t="s">
        <v>60</v>
      </c>
      <c r="G75" s="13" t="s">
        <v>61</v>
      </c>
      <c r="H75" s="13" t="s">
        <v>209</v>
      </c>
      <c r="I75" s="13">
        <v>1700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50</v>
      </c>
      <c r="Q75" s="13">
        <v>-50</v>
      </c>
      <c r="R75" s="13">
        <v>0</v>
      </c>
      <c r="S75" s="13">
        <v>0</v>
      </c>
      <c r="T75" s="13">
        <v>0</v>
      </c>
      <c r="U75" s="13">
        <v>0</v>
      </c>
      <c r="V75" s="13">
        <v>-95</v>
      </c>
      <c r="W75" s="13">
        <v>0</v>
      </c>
      <c r="X75" s="13">
        <v>-38</v>
      </c>
      <c r="Y75" s="13">
        <v>0</v>
      </c>
      <c r="Z75" s="13">
        <v>1567</v>
      </c>
      <c r="AA75" s="13"/>
      <c r="AB75" s="13">
        <v>0</v>
      </c>
      <c r="AC75" s="13">
        <v>0</v>
      </c>
      <c r="AD75" s="13" t="s">
        <v>62</v>
      </c>
      <c r="AE75" s="13" t="s">
        <v>67</v>
      </c>
      <c r="AF75" s="13"/>
      <c r="AG75" s="13">
        <v>0</v>
      </c>
      <c r="AH75" s="13">
        <v>0</v>
      </c>
      <c r="AI75" s="13">
        <v>0</v>
      </c>
      <c r="AJ75" s="13">
        <v>0</v>
      </c>
      <c r="AK75" s="13">
        <v>0</v>
      </c>
    </row>
    <row r="76" spans="1:37" x14ac:dyDescent="0.15">
      <c r="A76" s="13">
        <v>70</v>
      </c>
      <c r="B76" s="13" t="s">
        <v>224</v>
      </c>
      <c r="C76" s="13"/>
      <c r="D76" s="13" t="s">
        <v>225</v>
      </c>
      <c r="E76" s="13" t="s">
        <v>226</v>
      </c>
      <c r="F76" s="13" t="s">
        <v>60</v>
      </c>
      <c r="G76" s="13" t="s">
        <v>61</v>
      </c>
      <c r="H76" s="13" t="s">
        <v>227</v>
      </c>
      <c r="I76" s="13">
        <v>650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47</v>
      </c>
      <c r="P76" s="13">
        <v>130</v>
      </c>
      <c r="Q76" s="13">
        <v>-177</v>
      </c>
      <c r="R76" s="13">
        <v>0</v>
      </c>
      <c r="S76" s="13">
        <v>0</v>
      </c>
      <c r="T76" s="13">
        <v>0</v>
      </c>
      <c r="U76" s="13">
        <v>0</v>
      </c>
      <c r="V76" s="13">
        <v>-29</v>
      </c>
      <c r="W76" s="13">
        <v>0</v>
      </c>
      <c r="X76" s="13">
        <v>-16</v>
      </c>
      <c r="Y76" s="13">
        <v>0</v>
      </c>
      <c r="Z76" s="13">
        <v>605</v>
      </c>
      <c r="AA76" s="13"/>
      <c r="AB76" s="13">
        <v>0</v>
      </c>
      <c r="AC76" s="13">
        <v>0</v>
      </c>
      <c r="AD76" s="13" t="s">
        <v>62</v>
      </c>
      <c r="AE76" s="13" t="s">
        <v>93</v>
      </c>
      <c r="AF76" s="13"/>
      <c r="AG76" s="13">
        <v>0</v>
      </c>
      <c r="AH76" s="13">
        <v>0</v>
      </c>
      <c r="AI76" s="13">
        <v>0</v>
      </c>
      <c r="AJ76" s="13">
        <v>0</v>
      </c>
      <c r="AK76" s="13">
        <v>0</v>
      </c>
    </row>
    <row r="77" spans="1:37" x14ac:dyDescent="0.15">
      <c r="A77" s="13">
        <v>71</v>
      </c>
      <c r="B77" s="13" t="s">
        <v>228</v>
      </c>
      <c r="C77" s="13"/>
      <c r="D77" s="13" t="s">
        <v>229</v>
      </c>
      <c r="E77" s="13" t="s">
        <v>66</v>
      </c>
      <c r="F77" s="13" t="s">
        <v>60</v>
      </c>
      <c r="G77" s="13" t="s">
        <v>61</v>
      </c>
      <c r="H77" s="13" t="s">
        <v>227</v>
      </c>
      <c r="I77" s="13">
        <v>400</v>
      </c>
      <c r="J77" s="13">
        <v>-20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115</v>
      </c>
      <c r="Q77" s="13">
        <v>-115</v>
      </c>
      <c r="R77" s="13">
        <v>0</v>
      </c>
      <c r="S77" s="13">
        <v>0</v>
      </c>
      <c r="T77" s="13">
        <v>0</v>
      </c>
      <c r="U77" s="13">
        <v>0</v>
      </c>
      <c r="V77" s="13">
        <v>-21</v>
      </c>
      <c r="W77" s="13">
        <v>0</v>
      </c>
      <c r="X77" s="13">
        <v>-9</v>
      </c>
      <c r="Y77" s="13">
        <v>0</v>
      </c>
      <c r="Z77" s="13">
        <v>350</v>
      </c>
      <c r="AA77" s="13"/>
      <c r="AB77" s="13">
        <v>0</v>
      </c>
      <c r="AC77" s="13">
        <v>0</v>
      </c>
      <c r="AD77" s="13" t="s">
        <v>62</v>
      </c>
      <c r="AE77" s="13" t="s">
        <v>93</v>
      </c>
      <c r="AF77" s="13"/>
      <c r="AG77" s="13">
        <v>0</v>
      </c>
      <c r="AH77" s="13">
        <v>0</v>
      </c>
      <c r="AI77" s="13">
        <v>0</v>
      </c>
      <c r="AJ77" s="13">
        <v>0</v>
      </c>
      <c r="AK77" s="13">
        <v>0</v>
      </c>
    </row>
    <row r="78" spans="1:37" x14ac:dyDescent="0.15">
      <c r="A78" s="13">
        <v>72</v>
      </c>
      <c r="B78" s="13" t="s">
        <v>230</v>
      </c>
      <c r="C78" s="13"/>
      <c r="D78" s="13" t="s">
        <v>231</v>
      </c>
      <c r="E78" s="13" t="s">
        <v>131</v>
      </c>
      <c r="F78" s="13" t="s">
        <v>60</v>
      </c>
      <c r="G78" s="13" t="s">
        <v>61</v>
      </c>
      <c r="H78" s="13" t="s">
        <v>227</v>
      </c>
      <c r="I78" s="13">
        <v>650</v>
      </c>
      <c r="J78" s="13">
        <v>-33</v>
      </c>
      <c r="K78" s="13">
        <v>0</v>
      </c>
      <c r="L78" s="13">
        <v>0</v>
      </c>
      <c r="M78" s="13">
        <v>0</v>
      </c>
      <c r="N78" s="13">
        <v>0</v>
      </c>
      <c r="O78" s="13">
        <v>177</v>
      </c>
      <c r="P78" s="13">
        <v>0</v>
      </c>
      <c r="Q78" s="13">
        <v>-177</v>
      </c>
      <c r="R78" s="13">
        <v>0</v>
      </c>
      <c r="S78" s="13">
        <v>0</v>
      </c>
      <c r="T78" s="13">
        <v>0</v>
      </c>
      <c r="U78" s="13">
        <v>0</v>
      </c>
      <c r="V78" s="13">
        <v>-35</v>
      </c>
      <c r="W78" s="13">
        <v>0</v>
      </c>
      <c r="X78" s="13">
        <v>-18</v>
      </c>
      <c r="Y78" s="13">
        <v>0</v>
      </c>
      <c r="Z78" s="13">
        <v>564</v>
      </c>
      <c r="AA78" s="13"/>
      <c r="AB78" s="13">
        <v>0</v>
      </c>
      <c r="AC78" s="13">
        <v>0</v>
      </c>
      <c r="AD78" s="13" t="s">
        <v>62</v>
      </c>
      <c r="AE78" s="13" t="s">
        <v>93</v>
      </c>
      <c r="AF78" s="13"/>
      <c r="AG78" s="13">
        <v>0</v>
      </c>
      <c r="AH78" s="13">
        <v>0</v>
      </c>
      <c r="AI78" s="13">
        <v>0</v>
      </c>
      <c r="AJ78" s="13">
        <v>0</v>
      </c>
      <c r="AK78" s="13">
        <v>0</v>
      </c>
    </row>
    <row r="79" spans="1:37" x14ac:dyDescent="0.15">
      <c r="A79" s="13">
        <v>73</v>
      </c>
      <c r="B79" s="13" t="s">
        <v>232</v>
      </c>
      <c r="C79" s="13"/>
      <c r="D79" s="13" t="s">
        <v>233</v>
      </c>
      <c r="E79" s="13" t="s">
        <v>131</v>
      </c>
      <c r="F79" s="13" t="s">
        <v>60</v>
      </c>
      <c r="G79" s="13" t="s">
        <v>61</v>
      </c>
      <c r="H79" s="13" t="s">
        <v>227</v>
      </c>
      <c r="I79" s="13">
        <v>12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70</v>
      </c>
      <c r="P79" s="13">
        <v>70</v>
      </c>
      <c r="Q79" s="13">
        <v>-140</v>
      </c>
      <c r="R79" s="13">
        <v>0</v>
      </c>
      <c r="S79" s="13">
        <v>0</v>
      </c>
      <c r="T79" s="13">
        <v>0</v>
      </c>
      <c r="U79" s="13">
        <v>0</v>
      </c>
      <c r="V79" s="13">
        <v>-1</v>
      </c>
      <c r="W79" s="13">
        <v>0</v>
      </c>
      <c r="X79" s="13">
        <v>-2</v>
      </c>
      <c r="Y79" s="13">
        <v>0</v>
      </c>
      <c r="Z79" s="13">
        <v>9</v>
      </c>
      <c r="AA79" s="13"/>
      <c r="AB79" s="13">
        <v>0</v>
      </c>
      <c r="AC79" s="13">
        <v>0</v>
      </c>
      <c r="AD79" s="13" t="s">
        <v>62</v>
      </c>
      <c r="AE79" s="13" t="s">
        <v>63</v>
      </c>
      <c r="AF79" s="13"/>
      <c r="AG79" s="13">
        <v>0</v>
      </c>
      <c r="AH79" s="13">
        <v>0</v>
      </c>
      <c r="AI79" s="13">
        <v>0</v>
      </c>
      <c r="AJ79" s="13">
        <v>0</v>
      </c>
      <c r="AK79" s="13">
        <v>0</v>
      </c>
    </row>
    <row r="80" spans="1:37" x14ac:dyDescent="0.15">
      <c r="A80" s="13">
        <v>74</v>
      </c>
      <c r="B80" s="13" t="s">
        <v>234</v>
      </c>
      <c r="C80" s="13"/>
      <c r="D80" s="13" t="s">
        <v>235</v>
      </c>
      <c r="E80" s="13" t="s">
        <v>236</v>
      </c>
      <c r="F80" s="13" t="s">
        <v>60</v>
      </c>
      <c r="G80" s="13" t="s">
        <v>61</v>
      </c>
      <c r="H80" s="13" t="s">
        <v>227</v>
      </c>
      <c r="I80" s="13">
        <v>340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58</v>
      </c>
      <c r="Q80" s="13">
        <v>-58</v>
      </c>
      <c r="R80" s="13">
        <v>0</v>
      </c>
      <c r="S80" s="13">
        <v>0</v>
      </c>
      <c r="T80" s="13">
        <v>0</v>
      </c>
      <c r="U80" s="13">
        <v>0</v>
      </c>
      <c r="V80" s="13">
        <v>-19</v>
      </c>
      <c r="W80" s="13">
        <v>0</v>
      </c>
      <c r="X80" s="13">
        <v>-8</v>
      </c>
      <c r="Y80" s="13">
        <v>0</v>
      </c>
      <c r="Z80" s="13">
        <v>313</v>
      </c>
      <c r="AA80" s="13"/>
      <c r="AB80" s="13">
        <v>0</v>
      </c>
      <c r="AC80" s="13">
        <v>0</v>
      </c>
      <c r="AD80" s="13" t="s">
        <v>62</v>
      </c>
      <c r="AE80" s="13" t="s">
        <v>67</v>
      </c>
      <c r="AF80" s="13"/>
      <c r="AG80" s="13">
        <v>0</v>
      </c>
      <c r="AH80" s="13">
        <v>0</v>
      </c>
      <c r="AI80" s="13">
        <v>0</v>
      </c>
      <c r="AJ80" s="13">
        <v>0</v>
      </c>
      <c r="AK80" s="13">
        <v>0</v>
      </c>
    </row>
    <row r="81" spans="1:37" x14ac:dyDescent="0.15">
      <c r="A81" s="13">
        <v>75</v>
      </c>
      <c r="B81" s="13" t="s">
        <v>237</v>
      </c>
      <c r="C81" s="13"/>
      <c r="D81" s="13" t="s">
        <v>238</v>
      </c>
      <c r="E81" s="13" t="s">
        <v>131</v>
      </c>
      <c r="F81" s="13" t="s">
        <v>60</v>
      </c>
      <c r="G81" s="13" t="s">
        <v>61</v>
      </c>
      <c r="H81" s="13" t="s">
        <v>227</v>
      </c>
      <c r="I81" s="13">
        <v>300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20</v>
      </c>
      <c r="P81" s="13">
        <v>120</v>
      </c>
      <c r="Q81" s="13">
        <v>-140</v>
      </c>
      <c r="R81" s="13">
        <v>0</v>
      </c>
      <c r="S81" s="13">
        <v>0</v>
      </c>
      <c r="T81" s="13">
        <v>0</v>
      </c>
      <c r="U81" s="13">
        <v>0</v>
      </c>
      <c r="V81" s="13">
        <v>-17</v>
      </c>
      <c r="W81" s="13">
        <v>0</v>
      </c>
      <c r="X81" s="13">
        <v>-7</v>
      </c>
      <c r="Y81" s="13">
        <v>0</v>
      </c>
      <c r="Z81" s="13">
        <v>276</v>
      </c>
      <c r="AA81" s="13"/>
      <c r="AB81" s="13">
        <v>0</v>
      </c>
      <c r="AC81" s="13">
        <v>0</v>
      </c>
      <c r="AD81" s="13" t="s">
        <v>62</v>
      </c>
      <c r="AE81" s="13" t="s">
        <v>93</v>
      </c>
      <c r="AF81" s="13"/>
      <c r="AG81" s="13">
        <v>0</v>
      </c>
      <c r="AH81" s="13">
        <v>0</v>
      </c>
      <c r="AI81" s="13">
        <v>0</v>
      </c>
      <c r="AJ81" s="13">
        <v>0</v>
      </c>
      <c r="AK81" s="13">
        <v>0</v>
      </c>
    </row>
    <row r="82" spans="1:37" x14ac:dyDescent="0.15">
      <c r="A82" s="13">
        <v>76</v>
      </c>
      <c r="B82" s="13" t="s">
        <v>239</v>
      </c>
      <c r="C82" s="13"/>
      <c r="D82" s="13" t="s">
        <v>240</v>
      </c>
      <c r="E82" s="13" t="s">
        <v>131</v>
      </c>
      <c r="F82" s="13" t="s">
        <v>60</v>
      </c>
      <c r="G82" s="13" t="s">
        <v>61</v>
      </c>
      <c r="H82" s="13" t="s">
        <v>227</v>
      </c>
      <c r="I82" s="13">
        <v>340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20</v>
      </c>
      <c r="P82" s="13">
        <v>120</v>
      </c>
      <c r="Q82" s="13">
        <v>-140</v>
      </c>
      <c r="R82" s="13">
        <v>0</v>
      </c>
      <c r="S82" s="13">
        <v>0</v>
      </c>
      <c r="T82" s="13">
        <v>-23</v>
      </c>
      <c r="U82" s="13">
        <v>0</v>
      </c>
      <c r="V82" s="13">
        <v>-19</v>
      </c>
      <c r="W82" s="13">
        <v>0</v>
      </c>
      <c r="X82" s="13">
        <v>-8</v>
      </c>
      <c r="Y82" s="13">
        <v>0</v>
      </c>
      <c r="Z82" s="13">
        <v>290</v>
      </c>
      <c r="AA82" s="13"/>
      <c r="AB82" s="13">
        <v>0</v>
      </c>
      <c r="AC82" s="13">
        <v>0</v>
      </c>
      <c r="AD82" s="13" t="s">
        <v>62</v>
      </c>
      <c r="AE82" s="13" t="s">
        <v>63</v>
      </c>
      <c r="AF82" s="13"/>
      <c r="AG82" s="13">
        <v>0</v>
      </c>
      <c r="AH82" s="13">
        <v>0</v>
      </c>
      <c r="AI82" s="13">
        <v>0</v>
      </c>
      <c r="AJ82" s="13">
        <v>0</v>
      </c>
      <c r="AK82" s="13">
        <v>0</v>
      </c>
    </row>
    <row r="83" spans="1:37" x14ac:dyDescent="0.15">
      <c r="A83" s="13">
        <v>77</v>
      </c>
      <c r="B83" s="13" t="s">
        <v>241</v>
      </c>
      <c r="C83" s="13"/>
      <c r="D83" s="13" t="s">
        <v>242</v>
      </c>
      <c r="E83" s="13" t="s">
        <v>85</v>
      </c>
      <c r="F83" s="13" t="s">
        <v>60</v>
      </c>
      <c r="G83" s="13" t="s">
        <v>61</v>
      </c>
      <c r="H83" s="13" t="s">
        <v>227</v>
      </c>
      <c r="I83" s="13">
        <v>340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20</v>
      </c>
      <c r="P83" s="13">
        <v>120</v>
      </c>
      <c r="Q83" s="13">
        <v>-140</v>
      </c>
      <c r="R83" s="13">
        <v>0</v>
      </c>
      <c r="S83" s="13">
        <v>0</v>
      </c>
      <c r="T83" s="13">
        <v>0</v>
      </c>
      <c r="U83" s="13">
        <v>0</v>
      </c>
      <c r="V83" s="13">
        <v>-15</v>
      </c>
      <c r="W83" s="13">
        <v>0</v>
      </c>
      <c r="X83" s="13">
        <v>-8</v>
      </c>
      <c r="Y83" s="13">
        <v>0</v>
      </c>
      <c r="Z83" s="13">
        <v>317</v>
      </c>
      <c r="AA83" s="13"/>
      <c r="AB83" s="13">
        <v>0</v>
      </c>
      <c r="AC83" s="13">
        <v>0</v>
      </c>
      <c r="AD83" s="13" t="s">
        <v>62</v>
      </c>
      <c r="AE83" s="13" t="s">
        <v>67</v>
      </c>
      <c r="AF83" s="13"/>
      <c r="AG83" s="13">
        <v>0</v>
      </c>
      <c r="AH83" s="13">
        <v>0</v>
      </c>
      <c r="AI83" s="13">
        <v>0</v>
      </c>
      <c r="AJ83" s="13">
        <v>0</v>
      </c>
      <c r="AK83" s="13">
        <v>0</v>
      </c>
    </row>
    <row r="84" spans="1:37" x14ac:dyDescent="0.15">
      <c r="A84" s="13">
        <v>78</v>
      </c>
      <c r="B84" s="13" t="s">
        <v>243</v>
      </c>
      <c r="C84" s="13"/>
      <c r="D84" s="13" t="s">
        <v>244</v>
      </c>
      <c r="E84" s="13" t="s">
        <v>208</v>
      </c>
      <c r="F84" s="13" t="s">
        <v>82</v>
      </c>
      <c r="G84" s="13" t="s">
        <v>61</v>
      </c>
      <c r="H84" s="13" t="s">
        <v>227</v>
      </c>
      <c r="I84" s="13">
        <v>650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36</v>
      </c>
      <c r="Q84" s="13">
        <v>-36</v>
      </c>
      <c r="R84" s="13">
        <v>0</v>
      </c>
      <c r="S84" s="13">
        <v>0</v>
      </c>
      <c r="T84" s="13">
        <v>0</v>
      </c>
      <c r="U84" s="13">
        <v>0</v>
      </c>
      <c r="V84" s="13">
        <v>-36</v>
      </c>
      <c r="W84" s="13">
        <v>0</v>
      </c>
      <c r="X84" s="13">
        <v>-15</v>
      </c>
      <c r="Y84" s="13">
        <v>0</v>
      </c>
      <c r="Z84" s="13">
        <v>599</v>
      </c>
      <c r="AA84" s="13"/>
      <c r="AB84" s="13">
        <v>0</v>
      </c>
      <c r="AC84" s="13">
        <v>0</v>
      </c>
      <c r="AD84" s="13" t="s">
        <v>62</v>
      </c>
      <c r="AE84" s="13" t="s">
        <v>63</v>
      </c>
      <c r="AF84" s="13"/>
      <c r="AG84" s="13">
        <v>0</v>
      </c>
      <c r="AH84" s="13">
        <v>0</v>
      </c>
      <c r="AI84" s="13">
        <v>0</v>
      </c>
      <c r="AJ84" s="13">
        <v>0</v>
      </c>
      <c r="AK84" s="13">
        <v>0</v>
      </c>
    </row>
    <row r="85" spans="1:37" x14ac:dyDescent="0.15">
      <c r="A85" s="13">
        <v>79</v>
      </c>
      <c r="B85" s="13" t="s">
        <v>245</v>
      </c>
      <c r="C85" s="13"/>
      <c r="D85" s="13" t="s">
        <v>246</v>
      </c>
      <c r="E85" s="13" t="s">
        <v>173</v>
      </c>
      <c r="F85" s="13" t="s">
        <v>60</v>
      </c>
      <c r="G85" s="13" t="s">
        <v>61</v>
      </c>
      <c r="H85" s="13" t="s">
        <v>227</v>
      </c>
      <c r="I85" s="13">
        <v>500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25</v>
      </c>
      <c r="P85" s="13">
        <v>70</v>
      </c>
      <c r="Q85" s="13">
        <v>-95</v>
      </c>
      <c r="R85" s="13">
        <v>0</v>
      </c>
      <c r="S85" s="13">
        <v>0</v>
      </c>
      <c r="T85" s="13">
        <v>0</v>
      </c>
      <c r="U85" s="13">
        <v>0</v>
      </c>
      <c r="V85" s="13">
        <v>-28</v>
      </c>
      <c r="W85" s="13">
        <v>0</v>
      </c>
      <c r="X85" s="13">
        <v>-12</v>
      </c>
      <c r="Y85" s="13">
        <v>0</v>
      </c>
      <c r="Z85" s="13">
        <v>460</v>
      </c>
      <c r="AA85" s="13"/>
      <c r="AB85" s="13">
        <v>0</v>
      </c>
      <c r="AC85" s="13">
        <v>0</v>
      </c>
      <c r="AD85" s="13" t="s">
        <v>62</v>
      </c>
      <c r="AE85" s="13" t="s">
        <v>67</v>
      </c>
      <c r="AF85" s="13"/>
      <c r="AG85" s="13">
        <v>0</v>
      </c>
      <c r="AH85" s="13">
        <v>0</v>
      </c>
      <c r="AI85" s="13">
        <v>0</v>
      </c>
      <c r="AJ85" s="13">
        <v>0</v>
      </c>
      <c r="AK85" s="13">
        <v>0</v>
      </c>
    </row>
    <row r="86" spans="1:37" x14ac:dyDescent="0.15">
      <c r="A86" s="13">
        <v>80</v>
      </c>
      <c r="B86" s="13" t="s">
        <v>247</v>
      </c>
      <c r="C86" s="13"/>
      <c r="D86" s="13" t="s">
        <v>248</v>
      </c>
      <c r="E86" s="13" t="s">
        <v>249</v>
      </c>
      <c r="F86" s="13" t="s">
        <v>178</v>
      </c>
      <c r="G86" s="13" t="s">
        <v>61</v>
      </c>
      <c r="H86" s="13" t="s">
        <v>227</v>
      </c>
      <c r="I86" s="13">
        <v>1100</v>
      </c>
      <c r="J86" s="13">
        <v>-55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88</v>
      </c>
      <c r="Q86" s="13">
        <v>-88</v>
      </c>
      <c r="R86" s="13">
        <v>0</v>
      </c>
      <c r="S86" s="13">
        <v>0</v>
      </c>
      <c r="T86" s="13">
        <v>0</v>
      </c>
      <c r="U86" s="13">
        <v>0</v>
      </c>
      <c r="V86" s="13">
        <v>-59</v>
      </c>
      <c r="W86" s="13">
        <v>0</v>
      </c>
      <c r="X86" s="13">
        <v>-23</v>
      </c>
      <c r="Y86" s="13">
        <v>0</v>
      </c>
      <c r="Z86" s="13">
        <v>963</v>
      </c>
      <c r="AA86" s="13"/>
      <c r="AB86" s="13">
        <v>0</v>
      </c>
      <c r="AC86" s="13">
        <v>0</v>
      </c>
      <c r="AD86" s="13" t="s">
        <v>62</v>
      </c>
      <c r="AE86" s="13" t="s">
        <v>67</v>
      </c>
      <c r="AF86" s="13"/>
      <c r="AG86" s="13">
        <v>0</v>
      </c>
      <c r="AH86" s="13">
        <v>0</v>
      </c>
      <c r="AI86" s="13">
        <v>0</v>
      </c>
      <c r="AJ86" s="13">
        <v>0</v>
      </c>
      <c r="AK86" s="13">
        <v>0</v>
      </c>
    </row>
    <row r="87" spans="1:37" x14ac:dyDescent="0.15">
      <c r="A87" s="13">
        <v>81</v>
      </c>
      <c r="B87" s="13" t="s">
        <v>250</v>
      </c>
      <c r="C87" s="13"/>
      <c r="D87" s="13" t="s">
        <v>251</v>
      </c>
      <c r="E87" s="13" t="s">
        <v>134</v>
      </c>
      <c r="F87" s="13" t="s">
        <v>60</v>
      </c>
      <c r="G87" s="13" t="s">
        <v>61</v>
      </c>
      <c r="H87" s="13" t="s">
        <v>227</v>
      </c>
      <c r="I87" s="13">
        <v>1700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177</v>
      </c>
      <c r="Q87" s="13">
        <v>-177</v>
      </c>
      <c r="R87" s="13">
        <v>0</v>
      </c>
      <c r="S87" s="13">
        <v>0</v>
      </c>
      <c r="T87" s="13">
        <v>0</v>
      </c>
      <c r="U87" s="13">
        <v>0</v>
      </c>
      <c r="V87" s="13">
        <v>-76</v>
      </c>
      <c r="W87" s="13">
        <v>0</v>
      </c>
      <c r="X87" s="13">
        <v>-38</v>
      </c>
      <c r="Y87" s="13">
        <v>0</v>
      </c>
      <c r="Z87" s="13">
        <v>1586</v>
      </c>
      <c r="AA87" s="13"/>
      <c r="AB87" s="13">
        <v>0</v>
      </c>
      <c r="AC87" s="13">
        <v>0</v>
      </c>
      <c r="AD87" s="13" t="s">
        <v>62</v>
      </c>
      <c r="AE87" s="13" t="s">
        <v>67</v>
      </c>
      <c r="AF87" s="13"/>
      <c r="AG87" s="13">
        <v>0</v>
      </c>
      <c r="AH87" s="13">
        <v>0</v>
      </c>
      <c r="AI87" s="13">
        <v>0</v>
      </c>
      <c r="AJ87" s="13">
        <v>0</v>
      </c>
      <c r="AK87" s="13">
        <v>0</v>
      </c>
    </row>
    <row r="88" spans="1:37" x14ac:dyDescent="0.15">
      <c r="A88" s="13">
        <v>82</v>
      </c>
      <c r="B88" s="13" t="s">
        <v>252</v>
      </c>
      <c r="C88" s="13"/>
      <c r="D88" s="13" t="s">
        <v>233</v>
      </c>
      <c r="E88" s="13" t="s">
        <v>131</v>
      </c>
      <c r="F88" s="13" t="s">
        <v>60</v>
      </c>
      <c r="G88" s="13" t="s">
        <v>61</v>
      </c>
      <c r="H88" s="13" t="s">
        <v>227</v>
      </c>
      <c r="I88" s="13">
        <v>320</v>
      </c>
      <c r="J88" s="13">
        <v>-16</v>
      </c>
      <c r="K88" s="13">
        <v>0</v>
      </c>
      <c r="L88" s="13">
        <v>0</v>
      </c>
      <c r="M88" s="13">
        <v>0</v>
      </c>
      <c r="N88" s="13">
        <v>0</v>
      </c>
      <c r="O88" s="13">
        <v>20</v>
      </c>
      <c r="P88" s="13">
        <v>120</v>
      </c>
      <c r="Q88" s="13">
        <v>-140</v>
      </c>
      <c r="R88" s="13">
        <v>0</v>
      </c>
      <c r="S88" s="13">
        <v>0</v>
      </c>
      <c r="T88" s="13">
        <v>0</v>
      </c>
      <c r="U88" s="13">
        <v>0</v>
      </c>
      <c r="V88" s="13">
        <v>-17</v>
      </c>
      <c r="W88" s="13">
        <v>0</v>
      </c>
      <c r="X88" s="13">
        <v>-7</v>
      </c>
      <c r="Y88" s="13">
        <v>0</v>
      </c>
      <c r="Z88" s="13">
        <v>280</v>
      </c>
      <c r="AA88" s="13"/>
      <c r="AB88" s="13">
        <v>0</v>
      </c>
      <c r="AC88" s="13">
        <v>0</v>
      </c>
      <c r="AD88" s="13" t="s">
        <v>62</v>
      </c>
      <c r="AE88" s="13" t="s">
        <v>63</v>
      </c>
      <c r="AF88" s="13"/>
      <c r="AG88" s="13">
        <v>0</v>
      </c>
      <c r="AH88" s="13">
        <v>0</v>
      </c>
      <c r="AI88" s="13">
        <v>0</v>
      </c>
      <c r="AJ88" s="13">
        <v>0</v>
      </c>
      <c r="AK88" s="13">
        <v>0</v>
      </c>
    </row>
    <row r="89" spans="1:37" x14ac:dyDescent="0.15">
      <c r="A89" s="13">
        <v>83</v>
      </c>
      <c r="B89" s="13" t="s">
        <v>253</v>
      </c>
      <c r="C89" s="13"/>
      <c r="D89" s="13" t="s">
        <v>254</v>
      </c>
      <c r="E89" s="13" t="s">
        <v>249</v>
      </c>
      <c r="F89" s="13" t="s">
        <v>82</v>
      </c>
      <c r="G89" s="13" t="s">
        <v>61</v>
      </c>
      <c r="H89" s="13" t="s">
        <v>227</v>
      </c>
      <c r="I89" s="13">
        <v>680</v>
      </c>
      <c r="J89" s="13">
        <v>-34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36</v>
      </c>
      <c r="Q89" s="13">
        <v>-36</v>
      </c>
      <c r="R89" s="13">
        <v>0</v>
      </c>
      <c r="S89" s="13">
        <v>0</v>
      </c>
      <c r="T89" s="13">
        <v>0</v>
      </c>
      <c r="U89" s="13">
        <v>0</v>
      </c>
      <c r="V89" s="13">
        <v>-36</v>
      </c>
      <c r="W89" s="13">
        <v>0</v>
      </c>
      <c r="X89" s="13">
        <v>-14</v>
      </c>
      <c r="Y89" s="13">
        <v>0</v>
      </c>
      <c r="Z89" s="13">
        <v>596</v>
      </c>
      <c r="AA89" s="13"/>
      <c r="AB89" s="13">
        <v>0</v>
      </c>
      <c r="AC89" s="13">
        <v>0</v>
      </c>
      <c r="AD89" s="13" t="s">
        <v>62</v>
      </c>
      <c r="AE89" s="13" t="s">
        <v>67</v>
      </c>
      <c r="AF89" s="13"/>
      <c r="AG89" s="13">
        <v>0</v>
      </c>
      <c r="AH89" s="13">
        <v>0</v>
      </c>
      <c r="AI89" s="13">
        <v>0</v>
      </c>
      <c r="AJ89" s="13">
        <v>0</v>
      </c>
      <c r="AK89" s="13">
        <v>0</v>
      </c>
    </row>
    <row r="90" spans="1:37" x14ac:dyDescent="0.15">
      <c r="A90" s="13">
        <v>84</v>
      </c>
      <c r="B90" s="13" t="s">
        <v>255</v>
      </c>
      <c r="C90" s="13"/>
      <c r="D90" s="13" t="s">
        <v>256</v>
      </c>
      <c r="E90" s="13" t="s">
        <v>249</v>
      </c>
      <c r="F90" s="13" t="s">
        <v>60</v>
      </c>
      <c r="G90" s="13" t="s">
        <v>61</v>
      </c>
      <c r="H90" s="13" t="s">
        <v>227</v>
      </c>
      <c r="I90" s="13">
        <v>1700</v>
      </c>
      <c r="J90" s="13">
        <v>-85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95</v>
      </c>
      <c r="Q90" s="13">
        <v>-95</v>
      </c>
      <c r="R90" s="13">
        <v>0</v>
      </c>
      <c r="S90" s="13">
        <v>0</v>
      </c>
      <c r="T90" s="13">
        <v>0</v>
      </c>
      <c r="U90" s="13">
        <v>0</v>
      </c>
      <c r="V90" s="13">
        <v>-90</v>
      </c>
      <c r="W90" s="13">
        <v>0</v>
      </c>
      <c r="X90" s="13">
        <v>-36</v>
      </c>
      <c r="Y90" s="13">
        <v>0</v>
      </c>
      <c r="Z90" s="13">
        <v>1489</v>
      </c>
      <c r="AA90" s="13"/>
      <c r="AB90" s="13">
        <v>0</v>
      </c>
      <c r="AC90" s="13">
        <v>0</v>
      </c>
      <c r="AD90" s="13" t="s">
        <v>62</v>
      </c>
      <c r="AE90" s="13" t="s">
        <v>93</v>
      </c>
      <c r="AF90" s="13"/>
      <c r="AG90" s="13">
        <v>0</v>
      </c>
      <c r="AH90" s="13">
        <v>0</v>
      </c>
      <c r="AI90" s="13">
        <v>0</v>
      </c>
      <c r="AJ90" s="13">
        <v>0</v>
      </c>
      <c r="AK90" s="13">
        <v>0</v>
      </c>
    </row>
    <row r="91" spans="1:37" x14ac:dyDescent="0.15">
      <c r="A91" s="13">
        <v>85</v>
      </c>
      <c r="B91" s="13" t="s">
        <v>257</v>
      </c>
      <c r="C91" s="13"/>
      <c r="D91" s="13" t="s">
        <v>258</v>
      </c>
      <c r="E91" s="13" t="s">
        <v>90</v>
      </c>
      <c r="F91" s="13" t="s">
        <v>60</v>
      </c>
      <c r="G91" s="13" t="s">
        <v>61</v>
      </c>
      <c r="H91" s="13" t="s">
        <v>227</v>
      </c>
      <c r="I91" s="13">
        <v>300</v>
      </c>
      <c r="J91" s="13">
        <v>-15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120</v>
      </c>
      <c r="Q91" s="13">
        <v>-120</v>
      </c>
      <c r="R91" s="13">
        <v>0</v>
      </c>
      <c r="S91" s="13">
        <v>0</v>
      </c>
      <c r="T91" s="13">
        <v>0</v>
      </c>
      <c r="U91" s="13">
        <v>0</v>
      </c>
      <c r="V91" s="13">
        <v>-16</v>
      </c>
      <c r="W91" s="13">
        <v>0</v>
      </c>
      <c r="X91" s="13">
        <v>-6</v>
      </c>
      <c r="Y91" s="13">
        <v>0</v>
      </c>
      <c r="Z91" s="13">
        <v>263</v>
      </c>
      <c r="AA91" s="13"/>
      <c r="AB91" s="13">
        <v>0</v>
      </c>
      <c r="AC91" s="13">
        <v>0</v>
      </c>
      <c r="AD91" s="13" t="s">
        <v>62</v>
      </c>
      <c r="AE91" s="13" t="s">
        <v>67</v>
      </c>
      <c r="AF91" s="13"/>
      <c r="AG91" s="13">
        <v>0</v>
      </c>
      <c r="AH91" s="13">
        <v>0</v>
      </c>
      <c r="AI91" s="13">
        <v>0</v>
      </c>
      <c r="AJ91" s="13">
        <v>0</v>
      </c>
      <c r="AK91" s="13">
        <v>0</v>
      </c>
    </row>
    <row r="92" spans="1:37" x14ac:dyDescent="0.15">
      <c r="A92" s="13">
        <v>86</v>
      </c>
      <c r="B92" s="13" t="s">
        <v>259</v>
      </c>
      <c r="C92" s="13"/>
      <c r="D92" s="13" t="s">
        <v>260</v>
      </c>
      <c r="E92" s="13" t="s">
        <v>236</v>
      </c>
      <c r="F92" s="13" t="s">
        <v>60</v>
      </c>
      <c r="G92" s="13" t="s">
        <v>61</v>
      </c>
      <c r="H92" s="13" t="s">
        <v>227</v>
      </c>
      <c r="I92" s="13">
        <v>1500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36</v>
      </c>
      <c r="Q92" s="13">
        <v>-36</v>
      </c>
      <c r="R92" s="13">
        <v>0</v>
      </c>
      <c r="S92" s="13">
        <v>0</v>
      </c>
      <c r="T92" s="13">
        <v>0</v>
      </c>
      <c r="U92" s="13">
        <v>0</v>
      </c>
      <c r="V92" s="13">
        <v>-84</v>
      </c>
      <c r="W92" s="13">
        <v>0</v>
      </c>
      <c r="X92" s="13">
        <v>-34</v>
      </c>
      <c r="Y92" s="13">
        <v>0</v>
      </c>
      <c r="Z92" s="13">
        <v>1382</v>
      </c>
      <c r="AA92" s="13"/>
      <c r="AB92" s="13">
        <v>0</v>
      </c>
      <c r="AC92" s="13">
        <v>0</v>
      </c>
      <c r="AD92" s="13" t="s">
        <v>62</v>
      </c>
      <c r="AE92" s="13" t="s">
        <v>67</v>
      </c>
      <c r="AF92" s="13"/>
      <c r="AG92" s="13">
        <v>0</v>
      </c>
      <c r="AH92" s="13">
        <v>0</v>
      </c>
      <c r="AI92" s="13">
        <v>0</v>
      </c>
      <c r="AJ92" s="13">
        <v>0</v>
      </c>
      <c r="AK92" s="13">
        <v>0</v>
      </c>
    </row>
    <row r="93" spans="1:37" x14ac:dyDescent="0.15">
      <c r="A93" s="13">
        <v>87</v>
      </c>
      <c r="B93" s="13" t="s">
        <v>261</v>
      </c>
      <c r="C93" s="13"/>
      <c r="D93" s="13" t="s">
        <v>262</v>
      </c>
      <c r="E93" s="13" t="s">
        <v>124</v>
      </c>
      <c r="F93" s="13" t="s">
        <v>60</v>
      </c>
      <c r="G93" s="13" t="s">
        <v>61</v>
      </c>
      <c r="H93" s="13" t="s">
        <v>227</v>
      </c>
      <c r="I93" s="13">
        <v>320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120</v>
      </c>
      <c r="Q93" s="13">
        <v>-120</v>
      </c>
      <c r="R93" s="13">
        <v>0</v>
      </c>
      <c r="S93" s="13">
        <v>0</v>
      </c>
      <c r="T93" s="13">
        <v>0</v>
      </c>
      <c r="U93" s="13">
        <v>0</v>
      </c>
      <c r="V93" s="13">
        <v>-18</v>
      </c>
      <c r="W93" s="13">
        <v>0</v>
      </c>
      <c r="X93" s="13">
        <v>-7</v>
      </c>
      <c r="Y93" s="13">
        <v>0</v>
      </c>
      <c r="Z93" s="13">
        <v>295</v>
      </c>
      <c r="AA93" s="13"/>
      <c r="AB93" s="13">
        <v>0</v>
      </c>
      <c r="AC93" s="13">
        <v>0</v>
      </c>
      <c r="AD93" s="13" t="s">
        <v>62</v>
      </c>
      <c r="AE93" s="13" t="s">
        <v>67</v>
      </c>
      <c r="AF93" s="13"/>
      <c r="AG93" s="13">
        <v>0</v>
      </c>
      <c r="AH93" s="13">
        <v>0</v>
      </c>
      <c r="AI93" s="13">
        <v>0</v>
      </c>
      <c r="AJ93" s="13">
        <v>0</v>
      </c>
      <c r="AK93" s="1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zoomScaleNormal="100" workbookViewId="0"/>
  </sheetViews>
  <sheetFormatPr defaultRowHeight="14.25" x14ac:dyDescent="0.15"/>
  <cols>
    <col min="1" max="1" width="10" customWidth="1"/>
    <col min="2" max="4" width="10" style="2" customWidth="1"/>
  </cols>
  <sheetData>
    <row r="1" spans="1:4" x14ac:dyDescent="0.15">
      <c r="A1" s="9"/>
      <c r="B1" s="9"/>
      <c r="C1" s="14" t="s">
        <v>31</v>
      </c>
      <c r="D1" s="14"/>
    </row>
    <row r="2" spans="1:4" x14ac:dyDescent="0.15">
      <c r="A2" s="9" t="s">
        <v>39</v>
      </c>
      <c r="B2" s="9" t="s">
        <v>40</v>
      </c>
      <c r="C2" s="9" t="s">
        <v>263</v>
      </c>
      <c r="D2" s="9" t="s">
        <v>264</v>
      </c>
    </row>
    <row r="3" spans="1:4" x14ac:dyDescent="0.15">
      <c r="A3" s="9">
        <v>1</v>
      </c>
      <c r="B3" s="9" t="s">
        <v>228</v>
      </c>
      <c r="C3" s="9">
        <v>0</v>
      </c>
      <c r="D3" s="9">
        <v>-21</v>
      </c>
    </row>
    <row r="4" spans="1:4" x14ac:dyDescent="0.15">
      <c r="A4" s="9">
        <v>2</v>
      </c>
      <c r="B4" s="9" t="s">
        <v>257</v>
      </c>
      <c r="C4" s="9">
        <v>0</v>
      </c>
      <c r="D4" s="9">
        <v>-16</v>
      </c>
    </row>
    <row r="5" spans="1:4" x14ac:dyDescent="0.15">
      <c r="A5" s="9">
        <v>3</v>
      </c>
      <c r="B5" s="9" t="s">
        <v>73</v>
      </c>
      <c r="C5" s="9">
        <v>0</v>
      </c>
      <c r="D5" s="9">
        <v>-18</v>
      </c>
    </row>
    <row r="6" spans="1:4" x14ac:dyDescent="0.15">
      <c r="A6" s="9">
        <v>4</v>
      </c>
      <c r="B6" s="9" t="s">
        <v>106</v>
      </c>
      <c r="C6" s="9">
        <v>-14</v>
      </c>
      <c r="D6" s="9">
        <v>0</v>
      </c>
    </row>
    <row r="7" spans="1:4" x14ac:dyDescent="0.15">
      <c r="A7" s="9">
        <v>5</v>
      </c>
      <c r="B7" s="9" t="s">
        <v>136</v>
      </c>
      <c r="C7" s="9">
        <v>0</v>
      </c>
      <c r="D7" s="9">
        <v>-38</v>
      </c>
    </row>
    <row r="8" spans="1:4" x14ac:dyDescent="0.15">
      <c r="A8" s="9">
        <v>6</v>
      </c>
      <c r="B8" s="9" t="s">
        <v>198</v>
      </c>
      <c r="C8" s="9">
        <v>0</v>
      </c>
      <c r="D8" s="9">
        <v>-90</v>
      </c>
    </row>
    <row r="9" spans="1:4" x14ac:dyDescent="0.15">
      <c r="A9" s="9">
        <v>7</v>
      </c>
      <c r="B9" s="9" t="s">
        <v>206</v>
      </c>
      <c r="C9" s="9">
        <v>0</v>
      </c>
      <c r="D9" s="9">
        <v>-22</v>
      </c>
    </row>
    <row r="10" spans="1:4" x14ac:dyDescent="0.15">
      <c r="A10" s="9">
        <v>8</v>
      </c>
      <c r="B10" s="9" t="s">
        <v>214</v>
      </c>
      <c r="C10" s="9">
        <v>0</v>
      </c>
      <c r="D10" s="9">
        <v>-43</v>
      </c>
    </row>
    <row r="11" spans="1:4" x14ac:dyDescent="0.15">
      <c r="A11" s="9">
        <v>9</v>
      </c>
      <c r="B11" s="9" t="s">
        <v>64</v>
      </c>
      <c r="C11" s="9">
        <v>0</v>
      </c>
      <c r="D11" s="9">
        <v>-24</v>
      </c>
    </row>
    <row r="12" spans="1:4" x14ac:dyDescent="0.15">
      <c r="A12" s="9">
        <v>10</v>
      </c>
      <c r="B12" s="9" t="s">
        <v>75</v>
      </c>
      <c r="C12" s="9">
        <v>-67</v>
      </c>
      <c r="D12" s="9">
        <v>0</v>
      </c>
    </row>
    <row r="13" spans="1:4" x14ac:dyDescent="0.15">
      <c r="A13" s="9">
        <v>11</v>
      </c>
      <c r="B13" s="9" t="s">
        <v>138</v>
      </c>
      <c r="C13" s="9">
        <v>0</v>
      </c>
      <c r="D13" s="9">
        <v>-35</v>
      </c>
    </row>
    <row r="14" spans="1:4" x14ac:dyDescent="0.15">
      <c r="A14" s="9">
        <v>12</v>
      </c>
      <c r="B14" s="9" t="s">
        <v>243</v>
      </c>
      <c r="C14" s="9">
        <v>0</v>
      </c>
      <c r="D14" s="9">
        <v>-36</v>
      </c>
    </row>
    <row r="15" spans="1:4" x14ac:dyDescent="0.15">
      <c r="A15" s="9">
        <v>13</v>
      </c>
      <c r="B15" s="9" t="s">
        <v>261</v>
      </c>
      <c r="C15" s="9">
        <v>0</v>
      </c>
      <c r="D15" s="9">
        <v>-18</v>
      </c>
    </row>
    <row r="16" spans="1:4" x14ac:dyDescent="0.15">
      <c r="A16" s="9">
        <v>14</v>
      </c>
      <c r="B16" s="9" t="s">
        <v>190</v>
      </c>
      <c r="C16" s="9">
        <v>0</v>
      </c>
      <c r="D16" s="9">
        <v>-25</v>
      </c>
    </row>
    <row r="17" spans="1:4" x14ac:dyDescent="0.15">
      <c r="A17" s="9">
        <v>15</v>
      </c>
      <c r="B17" s="9" t="s">
        <v>204</v>
      </c>
      <c r="C17" s="9">
        <v>0</v>
      </c>
      <c r="D17" s="9">
        <v>-19</v>
      </c>
    </row>
    <row r="18" spans="1:4" x14ac:dyDescent="0.15">
      <c r="A18" s="9">
        <v>16</v>
      </c>
      <c r="B18" s="9" t="s">
        <v>77</v>
      </c>
      <c r="C18" s="9">
        <v>0</v>
      </c>
      <c r="D18" s="9">
        <v>-18</v>
      </c>
    </row>
    <row r="19" spans="1:4" x14ac:dyDescent="0.15">
      <c r="A19" s="9">
        <v>17</v>
      </c>
      <c r="B19" s="9" t="s">
        <v>97</v>
      </c>
      <c r="C19" s="9">
        <v>0</v>
      </c>
      <c r="D19" s="9">
        <v>-82</v>
      </c>
    </row>
    <row r="20" spans="1:4" x14ac:dyDescent="0.15">
      <c r="A20" s="9">
        <v>18</v>
      </c>
      <c r="B20" s="9" t="s">
        <v>142</v>
      </c>
      <c r="C20" s="9">
        <v>-29</v>
      </c>
      <c r="D20" s="9">
        <v>0</v>
      </c>
    </row>
    <row r="21" spans="1:4" x14ac:dyDescent="0.15">
      <c r="A21" s="9">
        <v>19</v>
      </c>
      <c r="B21" s="9" t="s">
        <v>150</v>
      </c>
      <c r="C21" s="9">
        <v>0</v>
      </c>
      <c r="D21" s="9">
        <v>-17</v>
      </c>
    </row>
    <row r="22" spans="1:4" x14ac:dyDescent="0.15">
      <c r="A22" s="9">
        <v>20</v>
      </c>
      <c r="B22" s="9" t="s">
        <v>162</v>
      </c>
      <c r="C22" s="9">
        <v>0</v>
      </c>
      <c r="D22" s="9">
        <v>-38</v>
      </c>
    </row>
    <row r="23" spans="1:4" x14ac:dyDescent="0.15">
      <c r="A23" s="9">
        <v>21</v>
      </c>
      <c r="B23" s="9" t="s">
        <v>164</v>
      </c>
      <c r="C23" s="9">
        <v>-14</v>
      </c>
      <c r="D23" s="9">
        <v>0</v>
      </c>
    </row>
    <row r="24" spans="1:4" x14ac:dyDescent="0.15">
      <c r="A24" s="9">
        <v>22</v>
      </c>
      <c r="B24" s="9" t="s">
        <v>94</v>
      </c>
      <c r="C24" s="9">
        <v>0</v>
      </c>
      <c r="D24" s="9">
        <v>-3</v>
      </c>
    </row>
    <row r="25" spans="1:4" x14ac:dyDescent="0.15">
      <c r="A25" s="9">
        <v>23</v>
      </c>
      <c r="B25" s="9" t="s">
        <v>194</v>
      </c>
      <c r="C25" s="9">
        <v>0</v>
      </c>
      <c r="D25" s="9">
        <v>-19</v>
      </c>
    </row>
    <row r="26" spans="1:4" x14ac:dyDescent="0.15">
      <c r="A26" s="9">
        <v>24</v>
      </c>
      <c r="B26" s="9" t="s">
        <v>241</v>
      </c>
      <c r="C26" s="9">
        <v>-15</v>
      </c>
      <c r="D26" s="9">
        <v>0</v>
      </c>
    </row>
    <row r="27" spans="1:4" x14ac:dyDescent="0.15">
      <c r="A27" s="9">
        <v>25</v>
      </c>
      <c r="B27" s="9" t="s">
        <v>202</v>
      </c>
      <c r="C27" s="9">
        <v>0</v>
      </c>
      <c r="D27" s="9">
        <v>-17</v>
      </c>
    </row>
    <row r="28" spans="1:4" x14ac:dyDescent="0.15">
      <c r="A28" s="9">
        <v>26</v>
      </c>
      <c r="B28" s="9" t="s">
        <v>216</v>
      </c>
      <c r="C28" s="9">
        <v>0</v>
      </c>
      <c r="D28" s="9">
        <v>-87</v>
      </c>
    </row>
    <row r="29" spans="1:4" x14ac:dyDescent="0.15">
      <c r="A29" s="9">
        <v>27</v>
      </c>
      <c r="B29" s="9" t="s">
        <v>71</v>
      </c>
      <c r="C29" s="9">
        <v>0</v>
      </c>
      <c r="D29" s="9">
        <v>-36</v>
      </c>
    </row>
    <row r="30" spans="1:4" x14ac:dyDescent="0.15">
      <c r="A30" s="9">
        <v>28</v>
      </c>
      <c r="B30" s="9" t="s">
        <v>86</v>
      </c>
      <c r="C30" s="9">
        <v>0</v>
      </c>
      <c r="D30" s="9">
        <v>-90</v>
      </c>
    </row>
    <row r="31" spans="1:4" x14ac:dyDescent="0.15">
      <c r="A31" s="9">
        <v>29</v>
      </c>
      <c r="B31" s="9" t="s">
        <v>120</v>
      </c>
      <c r="C31" s="9">
        <v>0</v>
      </c>
      <c r="D31" s="9">
        <v>-28</v>
      </c>
    </row>
    <row r="32" spans="1:4" x14ac:dyDescent="0.15">
      <c r="A32" s="9">
        <v>30</v>
      </c>
      <c r="B32" s="9" t="s">
        <v>125</v>
      </c>
      <c r="C32" s="9">
        <v>0</v>
      </c>
      <c r="D32" s="9">
        <v>-36</v>
      </c>
    </row>
    <row r="33" spans="1:4" x14ac:dyDescent="0.15">
      <c r="A33" s="9">
        <v>31</v>
      </c>
      <c r="B33" s="9" t="s">
        <v>140</v>
      </c>
      <c r="C33" s="9">
        <v>0</v>
      </c>
      <c r="D33" s="9">
        <v>-38</v>
      </c>
    </row>
    <row r="34" spans="1:4" x14ac:dyDescent="0.15">
      <c r="A34" s="9">
        <v>32</v>
      </c>
      <c r="B34" s="9" t="s">
        <v>157</v>
      </c>
      <c r="C34" s="9">
        <v>0</v>
      </c>
      <c r="D34" s="9">
        <v>-18</v>
      </c>
    </row>
    <row r="35" spans="1:4" x14ac:dyDescent="0.15">
      <c r="A35" s="9">
        <v>33</v>
      </c>
      <c r="B35" s="9" t="s">
        <v>237</v>
      </c>
      <c r="C35" s="9">
        <v>0</v>
      </c>
      <c r="D35" s="9">
        <v>-17</v>
      </c>
    </row>
    <row r="36" spans="1:4" x14ac:dyDescent="0.15">
      <c r="A36" s="9">
        <v>34</v>
      </c>
      <c r="B36" s="9" t="s">
        <v>185</v>
      </c>
      <c r="C36" s="9">
        <v>0</v>
      </c>
      <c r="D36" s="9">
        <v>-18</v>
      </c>
    </row>
    <row r="37" spans="1:4" x14ac:dyDescent="0.15">
      <c r="A37" s="9">
        <v>35</v>
      </c>
      <c r="B37" s="9" t="s">
        <v>192</v>
      </c>
      <c r="C37" s="9">
        <v>0</v>
      </c>
      <c r="D37" s="9">
        <v>-7</v>
      </c>
    </row>
    <row r="38" spans="1:4" x14ac:dyDescent="0.15">
      <c r="A38" s="9">
        <v>36</v>
      </c>
      <c r="B38" s="9" t="s">
        <v>224</v>
      </c>
      <c r="C38" s="9">
        <v>-29</v>
      </c>
      <c r="D38" s="9">
        <v>0</v>
      </c>
    </row>
    <row r="39" spans="1:4" x14ac:dyDescent="0.15">
      <c r="A39" s="9">
        <v>37</v>
      </c>
      <c r="B39" s="9" t="s">
        <v>245</v>
      </c>
      <c r="C39" s="9">
        <v>0</v>
      </c>
      <c r="D39" s="9">
        <v>-28</v>
      </c>
    </row>
    <row r="40" spans="1:4" x14ac:dyDescent="0.15">
      <c r="A40" s="9">
        <v>38</v>
      </c>
      <c r="B40" s="9" t="s">
        <v>188</v>
      </c>
      <c r="C40" s="9">
        <v>-29</v>
      </c>
      <c r="D40" s="9">
        <v>0</v>
      </c>
    </row>
    <row r="41" spans="1:4" x14ac:dyDescent="0.15">
      <c r="A41" s="9">
        <v>39</v>
      </c>
      <c r="B41" s="9" t="s">
        <v>79</v>
      </c>
      <c r="C41" s="9">
        <v>0</v>
      </c>
      <c r="D41" s="9">
        <v>-95</v>
      </c>
    </row>
    <row r="42" spans="1:4" x14ac:dyDescent="0.15">
      <c r="A42" s="9">
        <v>40</v>
      </c>
      <c r="B42" s="9" t="s">
        <v>127</v>
      </c>
      <c r="C42" s="9">
        <v>0</v>
      </c>
      <c r="D42" s="9">
        <v>-18</v>
      </c>
    </row>
    <row r="43" spans="1:4" x14ac:dyDescent="0.15">
      <c r="A43" s="9">
        <v>41</v>
      </c>
      <c r="B43" s="9" t="s">
        <v>132</v>
      </c>
      <c r="C43" s="9">
        <v>-14</v>
      </c>
      <c r="D43" s="9">
        <v>0</v>
      </c>
    </row>
    <row r="44" spans="1:4" x14ac:dyDescent="0.15">
      <c r="A44" s="9">
        <v>42</v>
      </c>
      <c r="B44" s="9" t="s">
        <v>152</v>
      </c>
      <c r="C44" s="9">
        <v>-67</v>
      </c>
      <c r="D44" s="9">
        <v>0</v>
      </c>
    </row>
    <row r="45" spans="1:4" x14ac:dyDescent="0.15">
      <c r="A45" s="9">
        <v>43</v>
      </c>
      <c r="B45" s="9" t="s">
        <v>179</v>
      </c>
      <c r="C45" s="9">
        <v>-14</v>
      </c>
      <c r="D45" s="9">
        <v>0</v>
      </c>
    </row>
    <row r="46" spans="1:4" x14ac:dyDescent="0.15">
      <c r="A46" s="9">
        <v>44</v>
      </c>
      <c r="B46" s="9" t="s">
        <v>181</v>
      </c>
      <c r="C46" s="9">
        <v>0</v>
      </c>
      <c r="D46" s="9">
        <v>-36</v>
      </c>
    </row>
    <row r="47" spans="1:4" x14ac:dyDescent="0.15">
      <c r="A47" s="9">
        <v>45</v>
      </c>
      <c r="B47" s="9" t="s">
        <v>118</v>
      </c>
      <c r="C47" s="9">
        <v>0</v>
      </c>
      <c r="D47" s="9">
        <v>-8</v>
      </c>
    </row>
    <row r="48" spans="1:4" x14ac:dyDescent="0.15">
      <c r="A48" s="9">
        <v>46</v>
      </c>
      <c r="B48" s="9" t="s">
        <v>166</v>
      </c>
      <c r="C48" s="9">
        <v>0</v>
      </c>
      <c r="D48" s="9">
        <v>-84</v>
      </c>
    </row>
    <row r="49" spans="1:4" x14ac:dyDescent="0.15">
      <c r="A49" s="9">
        <v>47</v>
      </c>
      <c r="B49" s="9" t="s">
        <v>252</v>
      </c>
      <c r="C49" s="9">
        <v>0</v>
      </c>
      <c r="D49" s="9">
        <v>-17</v>
      </c>
    </row>
    <row r="50" spans="1:4" x14ac:dyDescent="0.15">
      <c r="A50" s="9">
        <v>48</v>
      </c>
      <c r="B50" s="9" t="s">
        <v>253</v>
      </c>
      <c r="C50" s="9">
        <v>0</v>
      </c>
      <c r="D50" s="9">
        <v>-36</v>
      </c>
    </row>
    <row r="51" spans="1:4" x14ac:dyDescent="0.15">
      <c r="A51" s="9">
        <v>49</v>
      </c>
      <c r="B51" s="9" t="s">
        <v>68</v>
      </c>
      <c r="C51" s="9">
        <v>0</v>
      </c>
      <c r="D51" s="9">
        <v>-17</v>
      </c>
    </row>
    <row r="52" spans="1:4" x14ac:dyDescent="0.15">
      <c r="A52" s="9">
        <v>50</v>
      </c>
      <c r="B52" s="9" t="s">
        <v>122</v>
      </c>
      <c r="C52" s="9">
        <v>0</v>
      </c>
      <c r="D52" s="9">
        <v>-95</v>
      </c>
    </row>
    <row r="53" spans="1:4" x14ac:dyDescent="0.15">
      <c r="A53" s="9">
        <v>51</v>
      </c>
      <c r="B53" s="9" t="s">
        <v>146</v>
      </c>
      <c r="C53" s="9">
        <v>0</v>
      </c>
      <c r="D53" s="9">
        <v>-45</v>
      </c>
    </row>
    <row r="54" spans="1:4" x14ac:dyDescent="0.15">
      <c r="A54" s="9">
        <v>52</v>
      </c>
      <c r="B54" s="9" t="s">
        <v>196</v>
      </c>
      <c r="C54" s="9">
        <v>0</v>
      </c>
      <c r="D54" s="9">
        <v>-17</v>
      </c>
    </row>
    <row r="55" spans="1:4" x14ac:dyDescent="0.15">
      <c r="A55" s="9">
        <v>53</v>
      </c>
      <c r="B55" s="9" t="s">
        <v>230</v>
      </c>
      <c r="C55" s="9">
        <v>0</v>
      </c>
      <c r="D55" s="9">
        <v>-35</v>
      </c>
    </row>
    <row r="56" spans="1:4" x14ac:dyDescent="0.15">
      <c r="A56" s="9">
        <v>54</v>
      </c>
      <c r="B56" s="9" t="s">
        <v>232</v>
      </c>
      <c r="C56" s="9">
        <v>0</v>
      </c>
      <c r="D56" s="9">
        <v>-1</v>
      </c>
    </row>
    <row r="57" spans="1:4" x14ac:dyDescent="0.15">
      <c r="A57" s="9">
        <v>55</v>
      </c>
      <c r="B57" s="9" t="s">
        <v>155</v>
      </c>
      <c r="C57" s="9">
        <v>0</v>
      </c>
      <c r="D57" s="9">
        <v>-17</v>
      </c>
    </row>
    <row r="58" spans="1:4" x14ac:dyDescent="0.15">
      <c r="A58" s="9">
        <v>56</v>
      </c>
      <c r="B58" s="9" t="s">
        <v>210</v>
      </c>
      <c r="C58" s="9">
        <v>0</v>
      </c>
      <c r="D58" s="9">
        <v>-17</v>
      </c>
    </row>
    <row r="59" spans="1:4" x14ac:dyDescent="0.15">
      <c r="A59" s="9">
        <v>57</v>
      </c>
      <c r="B59" s="9" t="s">
        <v>212</v>
      </c>
      <c r="C59" s="9">
        <v>0</v>
      </c>
      <c r="D59" s="9">
        <v>-18</v>
      </c>
    </row>
    <row r="60" spans="1:4" x14ac:dyDescent="0.15">
      <c r="A60" s="9">
        <v>58</v>
      </c>
      <c r="B60" s="9" t="s">
        <v>255</v>
      </c>
      <c r="C60" s="9">
        <v>0</v>
      </c>
      <c r="D60" s="9">
        <v>-90</v>
      </c>
    </row>
    <row r="61" spans="1:4" x14ac:dyDescent="0.15">
      <c r="A61" s="9">
        <v>59</v>
      </c>
      <c r="B61" s="9" t="s">
        <v>259</v>
      </c>
      <c r="C61" s="9">
        <v>0</v>
      </c>
      <c r="D61" s="9">
        <v>-84</v>
      </c>
    </row>
    <row r="62" spans="1:4" x14ac:dyDescent="0.15">
      <c r="A62" s="9">
        <v>60</v>
      </c>
      <c r="B62" s="9" t="s">
        <v>91</v>
      </c>
      <c r="C62" s="9">
        <v>0</v>
      </c>
      <c r="D62" s="9">
        <v>-87</v>
      </c>
    </row>
    <row r="63" spans="1:4" x14ac:dyDescent="0.15">
      <c r="A63" s="9">
        <v>61</v>
      </c>
      <c r="B63" s="9" t="s">
        <v>107</v>
      </c>
      <c r="C63" s="9">
        <v>-29</v>
      </c>
      <c r="D63" s="9">
        <v>0</v>
      </c>
    </row>
    <row r="64" spans="1:4" x14ac:dyDescent="0.15">
      <c r="A64" s="9">
        <v>62</v>
      </c>
      <c r="B64" s="9" t="s">
        <v>159</v>
      </c>
      <c r="C64" s="9">
        <v>-29</v>
      </c>
      <c r="D64" s="9">
        <v>0</v>
      </c>
    </row>
    <row r="65" spans="1:4" x14ac:dyDescent="0.15">
      <c r="A65" s="9">
        <v>63</v>
      </c>
      <c r="B65" s="9" t="s">
        <v>169</v>
      </c>
      <c r="C65" s="9">
        <v>0</v>
      </c>
      <c r="D65" s="9">
        <v>-19</v>
      </c>
    </row>
    <row r="66" spans="1:4" x14ac:dyDescent="0.15">
      <c r="A66" s="9">
        <v>64</v>
      </c>
      <c r="B66" s="9" t="s">
        <v>234</v>
      </c>
      <c r="C66" s="9">
        <v>0</v>
      </c>
      <c r="D66" s="9">
        <v>-19</v>
      </c>
    </row>
    <row r="67" spans="1:4" x14ac:dyDescent="0.15">
      <c r="A67" s="9">
        <v>65</v>
      </c>
      <c r="B67" s="9" t="s">
        <v>247</v>
      </c>
      <c r="C67" s="9">
        <v>0</v>
      </c>
      <c r="D67" s="9">
        <v>-59</v>
      </c>
    </row>
    <row r="68" spans="1:4" x14ac:dyDescent="0.15">
      <c r="A68" s="9">
        <v>66</v>
      </c>
      <c r="B68" s="9" t="s">
        <v>99</v>
      </c>
      <c r="C68" s="9">
        <v>0</v>
      </c>
      <c r="D68" s="9">
        <v>-18</v>
      </c>
    </row>
    <row r="69" spans="1:4" x14ac:dyDescent="0.15">
      <c r="A69" s="9">
        <v>67</v>
      </c>
      <c r="B69" s="9" t="s">
        <v>112</v>
      </c>
      <c r="C69" s="9">
        <v>0</v>
      </c>
      <c r="D69" s="9">
        <v>-22</v>
      </c>
    </row>
    <row r="70" spans="1:4" x14ac:dyDescent="0.15">
      <c r="A70" s="9">
        <v>68</v>
      </c>
      <c r="B70" s="9" t="s">
        <v>200</v>
      </c>
      <c r="C70" s="9">
        <v>0</v>
      </c>
      <c r="D70" s="9">
        <v>-82</v>
      </c>
    </row>
    <row r="71" spans="1:4" x14ac:dyDescent="0.15">
      <c r="A71" s="9">
        <v>69</v>
      </c>
      <c r="B71" s="9" t="s">
        <v>250</v>
      </c>
      <c r="C71" s="9">
        <v>-76</v>
      </c>
      <c r="D71" s="9">
        <v>0</v>
      </c>
    </row>
    <row r="72" spans="1:4" x14ac:dyDescent="0.15">
      <c r="A72" s="9">
        <v>70</v>
      </c>
      <c r="B72" s="9" t="s">
        <v>101</v>
      </c>
      <c r="C72" s="9">
        <v>0</v>
      </c>
      <c r="D72" s="9">
        <v>-6</v>
      </c>
    </row>
    <row r="73" spans="1:4" x14ac:dyDescent="0.15">
      <c r="A73" s="9">
        <v>71</v>
      </c>
      <c r="B73" s="9" t="s">
        <v>239</v>
      </c>
      <c r="C73" s="9">
        <v>0</v>
      </c>
      <c r="D73" s="9">
        <v>-19</v>
      </c>
    </row>
    <row r="74" spans="1:4" x14ac:dyDescent="0.15">
      <c r="A74" s="9">
        <v>72</v>
      </c>
      <c r="B74" s="9" t="s">
        <v>57</v>
      </c>
      <c r="C74" s="9">
        <v>-14</v>
      </c>
      <c r="D74" s="9">
        <v>0</v>
      </c>
    </row>
    <row r="75" spans="1:4" x14ac:dyDescent="0.15">
      <c r="A75" s="9">
        <v>73</v>
      </c>
      <c r="B75" s="9" t="s">
        <v>83</v>
      </c>
      <c r="C75" s="9">
        <v>-14</v>
      </c>
      <c r="D75" s="9">
        <v>0</v>
      </c>
    </row>
    <row r="76" spans="1:4" x14ac:dyDescent="0.15">
      <c r="A76" s="9">
        <v>74</v>
      </c>
      <c r="B76" s="9" t="s">
        <v>103</v>
      </c>
      <c r="C76" s="9">
        <v>0</v>
      </c>
      <c r="D76" s="9">
        <v>-90</v>
      </c>
    </row>
    <row r="77" spans="1:4" x14ac:dyDescent="0.15">
      <c r="A77" s="9">
        <v>75</v>
      </c>
      <c r="B77" s="9" t="s">
        <v>129</v>
      </c>
      <c r="C77" s="9">
        <v>0</v>
      </c>
      <c r="D77" s="9">
        <v>-95</v>
      </c>
    </row>
    <row r="78" spans="1:4" x14ac:dyDescent="0.15">
      <c r="A78" s="9">
        <v>76</v>
      </c>
      <c r="B78" s="9" t="s">
        <v>148</v>
      </c>
      <c r="C78" s="9">
        <v>0</v>
      </c>
      <c r="D78" s="9">
        <v>-18</v>
      </c>
    </row>
    <row r="79" spans="1:4" x14ac:dyDescent="0.15">
      <c r="A79" s="9">
        <v>77</v>
      </c>
      <c r="B79" s="9" t="s">
        <v>174</v>
      </c>
      <c r="C79" s="9">
        <v>0</v>
      </c>
      <c r="D79" s="9">
        <v>-18</v>
      </c>
    </row>
    <row r="80" spans="1:4" x14ac:dyDescent="0.15">
      <c r="A80" s="9">
        <v>78</v>
      </c>
      <c r="B80" s="9" t="s">
        <v>88</v>
      </c>
      <c r="C80" s="9">
        <v>0</v>
      </c>
      <c r="D80" s="9">
        <v>-80</v>
      </c>
    </row>
    <row r="81" spans="1:4" x14ac:dyDescent="0.15">
      <c r="A81" s="9">
        <v>79</v>
      </c>
      <c r="B81" s="9" t="s">
        <v>110</v>
      </c>
      <c r="C81" s="9">
        <v>0</v>
      </c>
      <c r="D81" s="9">
        <v>-95</v>
      </c>
    </row>
    <row r="82" spans="1:4" x14ac:dyDescent="0.15">
      <c r="A82" s="9">
        <v>80</v>
      </c>
      <c r="B82" s="9" t="s">
        <v>171</v>
      </c>
      <c r="C82" s="9">
        <v>0</v>
      </c>
      <c r="D82" s="9">
        <v>-95</v>
      </c>
    </row>
    <row r="83" spans="1:4" x14ac:dyDescent="0.15">
      <c r="A83" s="9">
        <v>81</v>
      </c>
      <c r="B83" s="9" t="s">
        <v>176</v>
      </c>
      <c r="C83" s="9">
        <v>0</v>
      </c>
      <c r="D83" s="9">
        <v>-78</v>
      </c>
    </row>
    <row r="84" spans="1:4" x14ac:dyDescent="0.15">
      <c r="A84" s="9">
        <v>82</v>
      </c>
      <c r="B84" s="9" t="s">
        <v>183</v>
      </c>
      <c r="C84" s="9">
        <v>0</v>
      </c>
      <c r="D84" s="9">
        <v>-90</v>
      </c>
    </row>
    <row r="85" spans="1:4" x14ac:dyDescent="0.15">
      <c r="A85" s="9">
        <v>83</v>
      </c>
      <c r="B85" s="9" t="s">
        <v>115</v>
      </c>
      <c r="C85" s="9">
        <v>0</v>
      </c>
      <c r="D85" s="9">
        <v>-95</v>
      </c>
    </row>
    <row r="86" spans="1:4" x14ac:dyDescent="0.15">
      <c r="A86" s="9">
        <v>84</v>
      </c>
      <c r="B86" s="9" t="s">
        <v>144</v>
      </c>
      <c r="C86" s="9">
        <v>0</v>
      </c>
      <c r="D86" s="9">
        <v>-95</v>
      </c>
    </row>
    <row r="87" spans="1:4" x14ac:dyDescent="0.15">
      <c r="A87" s="9">
        <v>85</v>
      </c>
      <c r="B87" s="9" t="s">
        <v>218</v>
      </c>
      <c r="C87" s="9">
        <v>0</v>
      </c>
      <c r="D87" s="9">
        <v>-95</v>
      </c>
    </row>
    <row r="88" spans="1:4" x14ac:dyDescent="0.15">
      <c r="A88" s="9">
        <v>86</v>
      </c>
      <c r="B88" s="9" t="s">
        <v>220</v>
      </c>
      <c r="C88" s="9">
        <v>0</v>
      </c>
      <c r="D88" s="9">
        <v>-84</v>
      </c>
    </row>
    <row r="89" spans="1:4" x14ac:dyDescent="0.15">
      <c r="A89" s="9">
        <v>87</v>
      </c>
      <c r="B89" s="9" t="s">
        <v>222</v>
      </c>
      <c r="C89" s="9">
        <v>0</v>
      </c>
      <c r="D89" s="9">
        <v>-95</v>
      </c>
    </row>
  </sheetData>
  <pageMargins left="0.78749999999999998" right="0.78749999999999998" top="1.05277777777778" bottom="1.05277777777778" header="0.78749999999999998" footer="0.78749999999999998"/>
  <pageSetup paperSize="9"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Normal="100" workbookViewId="0"/>
  </sheetViews>
  <sheetFormatPr defaultColWidth="10" defaultRowHeight="12.75" x14ac:dyDescent="0.15"/>
  <cols>
    <col min="1" max="7" width="10" style="2" customWidth="1"/>
    <col min="8" max="16384" width="10" style="15"/>
  </cols>
  <sheetData>
    <row r="1" spans="1:7" ht="50.1" customHeight="1" x14ac:dyDescent="0.15">
      <c r="A1" s="16" t="s">
        <v>265</v>
      </c>
      <c r="B1" s="16"/>
      <c r="C1" s="16"/>
      <c r="D1" s="16"/>
      <c r="E1" s="16"/>
      <c r="F1" s="16"/>
      <c r="G1" s="16"/>
    </row>
    <row r="2" spans="1:7" x14ac:dyDescent="0.15">
      <c r="A2" s="12" t="s">
        <v>2</v>
      </c>
      <c r="B2" s="17" t="s">
        <v>3</v>
      </c>
    </row>
    <row r="3" spans="1:7" x14ac:dyDescent="0.15">
      <c r="A3" s="17" t="s">
        <v>4</v>
      </c>
      <c r="B3" s="15" t="s">
        <v>5</v>
      </c>
      <c r="C3" s="17" t="s">
        <v>6</v>
      </c>
      <c r="D3" s="15" t="s">
        <v>7</v>
      </c>
    </row>
    <row r="4" spans="1:7" x14ac:dyDescent="0.15">
      <c r="A4" s="17" t="s">
        <v>10</v>
      </c>
    </row>
    <row r="6" spans="1:7" x14ac:dyDescent="0.15">
      <c r="A6" s="15"/>
      <c r="B6" s="15"/>
    </row>
    <row r="7" spans="1:7" ht="18" customHeight="1" x14ac:dyDescent="0.2">
      <c r="A7" s="6" t="s">
        <v>266</v>
      </c>
      <c r="B7" s="6"/>
      <c r="C7" s="6"/>
      <c r="D7" s="6"/>
      <c r="E7" s="6"/>
    </row>
    <row r="8" spans="1:7" ht="15.95" customHeight="1" x14ac:dyDescent="0.15">
      <c r="A8" s="18" t="s">
        <v>267</v>
      </c>
      <c r="B8" s="18"/>
      <c r="C8" s="18"/>
      <c r="D8" s="18"/>
      <c r="E8" s="19">
        <v>299</v>
      </c>
    </row>
    <row r="9" spans="1:7" x14ac:dyDescent="0.15">
      <c r="B9" s="9" t="s">
        <v>268</v>
      </c>
      <c r="D9" s="15">
        <v>299</v>
      </c>
    </row>
    <row r="12" spans="1:7" ht="18" customHeight="1" x14ac:dyDescent="0.2">
      <c r="A12" s="6" t="s">
        <v>269</v>
      </c>
      <c r="B12" s="6"/>
      <c r="C12" s="6"/>
      <c r="D12" s="6"/>
      <c r="E12" s="6"/>
    </row>
    <row r="13" spans="1:7" x14ac:dyDescent="0.15">
      <c r="A13" s="13" t="s">
        <v>39</v>
      </c>
      <c r="B13" s="13" t="s">
        <v>270</v>
      </c>
      <c r="C13" s="13" t="s">
        <v>271</v>
      </c>
      <c r="D13" s="13" t="s">
        <v>272</v>
      </c>
      <c r="E13" s="13" t="s">
        <v>273</v>
      </c>
      <c r="F13" s="13" t="s">
        <v>274</v>
      </c>
      <c r="G13" s="13" t="s">
        <v>46</v>
      </c>
    </row>
    <row r="14" spans="1:7" x14ac:dyDescent="0.15">
      <c r="A14" s="15">
        <v>1</v>
      </c>
      <c r="B14" s="15" t="s">
        <v>187</v>
      </c>
      <c r="C14" s="15" t="s">
        <v>268</v>
      </c>
      <c r="D14" s="15"/>
      <c r="E14" s="15">
        <v>299</v>
      </c>
      <c r="F14" s="15" t="s">
        <v>275</v>
      </c>
      <c r="G14" s="15"/>
    </row>
    <row r="16" spans="1:7" x14ac:dyDescent="0.15">
      <c r="A16" s="17" t="s">
        <v>276</v>
      </c>
      <c r="B16" s="17"/>
      <c r="C16" s="17"/>
      <c r="D16" s="17"/>
      <c r="E16" s="17">
        <v>299</v>
      </c>
    </row>
    <row r="17" spans="1:1" ht="15.95" customHeight="1" x14ac:dyDescent="0.15">
      <c r="A17" s="20"/>
    </row>
  </sheetData>
  <pageMargins left="0.78749999999999998" right="0.78749999999999998" top="1.05277777777778" bottom="1.05277777777778" header="0.78749999999999998" footer="0.78749999999999998"/>
  <pageSetup paperSize="9"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Income</vt:lpstr>
      <vt:lpstr>Service Fee Details</vt:lpstr>
      <vt:lpstr>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Royce Ang</dc:creator>
  <dcterms:created xsi:type="dcterms:W3CDTF">2025-06-22T12:22:04Z</dcterms:created>
</cp:coreProperties>
</file>