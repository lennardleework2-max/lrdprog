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 filterPrivacy="1"/>
  <xr:revisionPtr revIDLastSave="0" documentId="8_{D84E767A-FEEB-CD44-8B19-4E42741780DC}" xr6:coauthVersionLast="47" xr6:coauthVersionMax="47" xr10:uidLastSave="{00000000-0000-0000-0000-000000000000}"/>
  <bookViews>
    <workbookView xWindow="0" yWindow="0" windowWidth="14805" windowHeight="8010" xr2:uid="{00000000-000D-0000-FFFF-FFFF00000000}"/>
  </bookViews>
  <sheets>
    <sheet name="orders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" i="2" l="1"/>
  <c r="AI7" i="2"/>
</calcChain>
</file>

<file path=xl/sharedStrings.xml><?xml version="1.0" encoding="utf-8"?>
<sst xmlns="http://schemas.openxmlformats.org/spreadsheetml/2006/main" count="639" uniqueCount="259">
  <si>
    <t>Order ID</t>
  </si>
  <si>
    <t>Order Status</t>
  </si>
  <si>
    <t>Hot Listing</t>
  </si>
  <si>
    <t>Return / Refund Status</t>
  </si>
  <si>
    <t>Tracking Number*</t>
  </si>
  <si>
    <t>Shipping Option</t>
  </si>
  <si>
    <t>Shipment Method</t>
  </si>
  <si>
    <t>Estimated Ship Out Date</t>
  </si>
  <si>
    <t>Ship Time</t>
  </si>
  <si>
    <t>Order Creation Date</t>
  </si>
  <si>
    <t>Order Paid Time</t>
  </si>
  <si>
    <t>Parent SKU Reference No.</t>
  </si>
  <si>
    <t>Product Name</t>
  </si>
  <si>
    <t>SKU Reference No.</t>
  </si>
  <si>
    <t>Variation Name</t>
  </si>
  <si>
    <t>Original Price</t>
  </si>
  <si>
    <t>Deal Price</t>
  </si>
  <si>
    <t>Quantity</t>
  </si>
  <si>
    <t>Returned quantity</t>
  </si>
  <si>
    <t>Product Subtotal</t>
  </si>
  <si>
    <t>Total Discount(PHP)</t>
  </si>
  <si>
    <t>Price Discount(from Seller)(PHP)</t>
  </si>
  <si>
    <t>Shopee Rebate(PHP)</t>
  </si>
  <si>
    <t>SKU Total Weight</t>
  </si>
  <si>
    <t>Number of Items in Order</t>
  </si>
  <si>
    <t>Order Total Weight</t>
  </si>
  <si>
    <t>Seller Voucher(PHP)</t>
  </si>
  <si>
    <t>Seller Absorbed Coin Cashback</t>
  </si>
  <si>
    <t>Shopee Voucher(PHP)</t>
  </si>
  <si>
    <t>Bundle Deals Indicator(Y/N)</t>
  </si>
  <si>
    <t>Shopee Bundle Discount(PHP)</t>
  </si>
  <si>
    <t>Seller Bundle Discount(PHP)</t>
  </si>
  <si>
    <t>Shopee Coins Offset(PHP)</t>
  </si>
  <si>
    <t>Credit Card Discount Total(PHP)</t>
  </si>
  <si>
    <t>Products' Price Paid by Buyer (PHP)</t>
  </si>
  <si>
    <t>Buyer Paid Shipping Fee</t>
  </si>
  <si>
    <t>Shipping Rebate Estimate</t>
  </si>
  <si>
    <t>Reverse Shipping Fee</t>
  </si>
  <si>
    <t>Service Fee</t>
  </si>
  <si>
    <t>Grand Total</t>
  </si>
  <si>
    <t>Estimated Shipping Fee</t>
  </si>
  <si>
    <t>Username (Buyer)</t>
  </si>
  <si>
    <t>Receiver Name</t>
  </si>
  <si>
    <t>Phone Number</t>
  </si>
  <si>
    <t>Delivery Address</t>
  </si>
  <si>
    <t>Town</t>
  </si>
  <si>
    <t>District</t>
  </si>
  <si>
    <t>City</t>
  </si>
  <si>
    <t>Province</t>
  </si>
  <si>
    <t>Country</t>
  </si>
  <si>
    <t>Zip Code</t>
  </si>
  <si>
    <t>Remark from buyer</t>
  </si>
  <si>
    <t>Order Complete Time</t>
  </si>
  <si>
    <t>Note</t>
  </si>
  <si>
    <t>Invoice request type</t>
  </si>
  <si>
    <t>Invoice type</t>
  </si>
  <si>
    <t>Name</t>
  </si>
  <si>
    <t>Business number</t>
  </si>
  <si>
    <t>Address</t>
  </si>
  <si>
    <t>2506213XK7TAYJ</t>
  </si>
  <si>
    <t>Shipping</t>
  </si>
  <si>
    <t>N</t>
  </si>
  <si>
    <t/>
  </si>
  <si>
    <t>PH2591802118666</t>
  </si>
  <si>
    <t>Standard Local-SPX Express</t>
  </si>
  <si>
    <t>pickup</t>
  </si>
  <si>
    <t>2025-06-21 21:00</t>
  </si>
  <si>
    <t>2025-06-21 13:46</t>
  </si>
  <si>
    <t>2025-06-21 00:25</t>
  </si>
  <si>
    <t>2025-06-21 00:35</t>
  </si>
  <si>
    <t>BLITZ201</t>
  </si>
  <si>
    <t>RYU MotoBlitz Universal Yayamanin Helmet Hook Thailand Design Gold Two Tone</t>
  </si>
  <si>
    <t>BLITZ201-Gold-Blue</t>
  </si>
  <si>
    <t>Gold-Blue</t>
  </si>
  <si>
    <t>55</t>
  </si>
  <si>
    <t>1</t>
  </si>
  <si>
    <t>0</t>
  </si>
  <si>
    <t>0.100</t>
  </si>
  <si>
    <t>33</t>
  </si>
  <si>
    <t>25</t>
  </si>
  <si>
    <t>3</t>
  </si>
  <si>
    <t>88</t>
  </si>
  <si>
    <t>58</t>
  </si>
  <si>
    <t>froilanvilleno612</t>
  </si>
  <si>
    <t>F******o</t>
  </si>
  <si>
    <t>******13</t>
  </si>
  <si>
    <t>Zone 2, Santo Domingo, Santo Domingo, Bula, South Luzon, Camarines Sur, 8676</t>
  </si>
  <si>
    <t>Santo Domingo</t>
  </si>
  <si>
    <t>Bula</t>
  </si>
  <si>
    <t>Camarines Sur</t>
  </si>
  <si>
    <t>South Luzon</t>
  </si>
  <si>
    <t>PH</t>
  </si>
  <si>
    <t>8676</t>
  </si>
  <si>
    <t>2506214PNS26PC</t>
  </si>
  <si>
    <t>PH259594314101B</t>
  </si>
  <si>
    <t>2025-06-21 07:36</t>
  </si>
  <si>
    <t>2025-06-21 07:48</t>
  </si>
  <si>
    <t>BLITZ202</t>
  </si>
  <si>
    <t>RYU Motoblitz Gold Two Tone Key Chain Yayamanin Thailand Design</t>
  </si>
  <si>
    <t>BLITZ202-Gold Blue</t>
  </si>
  <si>
    <t>Gold Blue</t>
  </si>
  <si>
    <t>2</t>
  </si>
  <si>
    <t>116</t>
  </si>
  <si>
    <t>0.400</t>
  </si>
  <si>
    <t>8</t>
  </si>
  <si>
    <t>50</t>
  </si>
  <si>
    <t>6</t>
  </si>
  <si>
    <t>124</t>
  </si>
  <si>
    <t>chengnicko</t>
  </si>
  <si>
    <t>N******s</t>
  </si>
  <si>
    <t>******25</t>
  </si>
  <si>
    <t>Porto Minimart,Sitio Bagong Sikat, Laiya-Ibabao, San Juan, South Luzon, Batangas, 4226</t>
  </si>
  <si>
    <t>Laiya-Ibabao</t>
  </si>
  <si>
    <t>San Juan</t>
  </si>
  <si>
    <t>Batangas</t>
  </si>
  <si>
    <t>4226</t>
  </si>
  <si>
    <t>2506214WP94NHD</t>
  </si>
  <si>
    <t>PH253769675752G</t>
  </si>
  <si>
    <t>2025-06-21 09:42</t>
  </si>
  <si>
    <t>2025-06-21 09:52</t>
  </si>
  <si>
    <t>T5642</t>
  </si>
  <si>
    <t>RYU MotoPro Tail Light for Bajaj CT100 Running Animation Idle Light Signal Stop Light</t>
  </si>
  <si>
    <t>320</t>
  </si>
  <si>
    <t>0.350</t>
  </si>
  <si>
    <t>96</t>
  </si>
  <si>
    <t>224</t>
  </si>
  <si>
    <t>115</t>
  </si>
  <si>
    <t>18</t>
  </si>
  <si>
    <t>mjcierelmaebonbon</t>
  </si>
  <si>
    <t>C******e</t>
  </si>
  <si>
    <t>******46</t>
  </si>
  <si>
    <t>P-11 Poblacion Valencia City, Poblacion, Valencia City, Mindanao, Bukidnon, 8709</t>
  </si>
  <si>
    <t>Poblacion</t>
  </si>
  <si>
    <t>Valencia City</t>
  </si>
  <si>
    <t>Bukidnon</t>
  </si>
  <si>
    <t>Mindanao</t>
  </si>
  <si>
    <t>8709</t>
  </si>
  <si>
    <t>2506213WG0JB16</t>
  </si>
  <si>
    <t>PH2564019012388</t>
  </si>
  <si>
    <t>2025-06-21 00:05</t>
  </si>
  <si>
    <t>2025-06-21 00:17</t>
  </si>
  <si>
    <t>T5632</t>
  </si>
  <si>
    <t>RYU MotoPro Tail Light for Honda XRM 110 125 Running Lights Plug and Play</t>
  </si>
  <si>
    <t>450</t>
  </si>
  <si>
    <t>109</t>
  </si>
  <si>
    <t>341</t>
  </si>
  <si>
    <t>65</t>
  </si>
  <si>
    <t>35</t>
  </si>
  <si>
    <t>100</t>
  </si>
  <si>
    <t>sherwinator731</t>
  </si>
  <si>
    <t>S******o</t>
  </si>
  <si>
    <t>******30</t>
  </si>
  <si>
    <t>Shm Apartment, Palm Hill Road, Mabanto Compound, Basak, Basak, Mandaue City, Visayas, Cebu, 6014</t>
  </si>
  <si>
    <t>Basak</t>
  </si>
  <si>
    <t>Mandaue City</t>
  </si>
  <si>
    <t>Cebu</t>
  </si>
  <si>
    <t>Visayas</t>
  </si>
  <si>
    <t>6014</t>
  </si>
  <si>
    <t>2506213YFEYA3Q</t>
  </si>
  <si>
    <t>PH256655754829G</t>
  </si>
  <si>
    <t>2025-06-21 00:41</t>
  </si>
  <si>
    <t>2025-06-21 00:54</t>
  </si>
  <si>
    <t>T5653</t>
  </si>
  <si>
    <t>RYU MotoPro LED Headlight Assy for Beat FI V2 Upgraded with DRL and Turn Signal T-5653</t>
  </si>
  <si>
    <t>1700</t>
  </si>
  <si>
    <t>1.300</t>
  </si>
  <si>
    <t>95</t>
  </si>
  <si>
    <t>0n7mkaz4hb</t>
  </si>
  <si>
    <t>M******o</t>
  </si>
  <si>
    <t>******64</t>
  </si>
  <si>
    <t>31 Mayon Street, Villa Maria, Malamig, Malamig, Mandaluyong City, Metro Manila, Metro Manila, 1550</t>
  </si>
  <si>
    <t>Malamig</t>
  </si>
  <si>
    <t>Mandaluyong City</t>
  </si>
  <si>
    <t>Metro Manila</t>
  </si>
  <si>
    <t>1550</t>
  </si>
  <si>
    <t>Non Requested Invoice</t>
  </si>
  <si>
    <t>Personal</t>
  </si>
  <si>
    <t xml:space="preserve"> Mark David Presto</t>
  </si>
  <si>
    <t xml:space="preserve">      </t>
  </si>
  <si>
    <t>25062156Y5KTWW</t>
  </si>
  <si>
    <t>PH2523584369268</t>
  </si>
  <si>
    <t>2025-06-21 16:38</t>
  </si>
  <si>
    <t>2025-06-21 12:28</t>
  </si>
  <si>
    <t>2025-06-21 12:38</t>
  </si>
  <si>
    <t>1.150</t>
  </si>
  <si>
    <t>99</t>
  </si>
  <si>
    <t>21</t>
  </si>
  <si>
    <t>150</t>
  </si>
  <si>
    <t>37</t>
  </si>
  <si>
    <t>582</t>
  </si>
  <si>
    <t>171</t>
  </si>
  <si>
    <t>geraldinesevilla858</t>
  </si>
  <si>
    <t>M******a</t>
  </si>
  <si>
    <t>******27</t>
  </si>
  <si>
    <t>Magallanes Street, Santo Rosario (Pob.), Santo Rosario (Pob.), Binalbagan, Visayas, Negros Occidental, 6107</t>
  </si>
  <si>
    <t>Santo Rosario (Pob.)</t>
  </si>
  <si>
    <t>Binalbagan</t>
  </si>
  <si>
    <t>Negros Occidental</t>
  </si>
  <si>
    <t>6107</t>
  </si>
  <si>
    <t>T5644</t>
  </si>
  <si>
    <t>RYU MotoPro Tail Light for TMX155 CG125 Running Animation Idle Light Signal Stop Light</t>
  </si>
  <si>
    <t>T5644-Red</t>
  </si>
  <si>
    <t>Red</t>
  </si>
  <si>
    <t>340</t>
  </si>
  <si>
    <t>0.800</t>
  </si>
  <si>
    <t>250621592VBN4A</t>
  </si>
  <si>
    <t>PH2566528998283</t>
  </si>
  <si>
    <t>2025-06-21 13:05</t>
  </si>
  <si>
    <t>2025-06-21 13:16</t>
  </si>
  <si>
    <t>BLITZ105</t>
  </si>
  <si>
    <t>RYU Motoblitz CNC Side Stand Shoe Universal</t>
  </si>
  <si>
    <t>BLITZ105-Blue</t>
  </si>
  <si>
    <t>Blue</t>
  </si>
  <si>
    <t>0.250</t>
  </si>
  <si>
    <t>foremanman</t>
  </si>
  <si>
    <t>m******n</t>
  </si>
  <si>
    <t>******17</t>
  </si>
  <si>
    <t>Carretunan Barangay Hall, Carretunan, Carretunan, Calatagan, South Luzon, Batangas, 1425</t>
  </si>
  <si>
    <t>Carretunan</t>
  </si>
  <si>
    <t>Calatagan</t>
  </si>
  <si>
    <t>1425</t>
  </si>
  <si>
    <t>2506215A6D5NJV</t>
  </si>
  <si>
    <t>PH255947856885R</t>
  </si>
  <si>
    <t>2025-06-21 13:25</t>
  </si>
  <si>
    <t>2025-06-21 13:38</t>
  </si>
  <si>
    <t>LED Brake Light Bulb</t>
  </si>
  <si>
    <t>RYU Motoblitz LED Brake Light Bulb Flash and Steady Universal High Brightness</t>
  </si>
  <si>
    <t>BLITZ107-Red</t>
  </si>
  <si>
    <t>Red,Steady</t>
  </si>
  <si>
    <t>59</t>
  </si>
  <si>
    <t>0.200</t>
  </si>
  <si>
    <t>92</t>
  </si>
  <si>
    <t>9a33mfpztm</t>
  </si>
  <si>
    <t>P******z</t>
  </si>
  <si>
    <t>******11</t>
  </si>
  <si>
    <t>Zone 5, Bued Basketball Court, Bued, Binalonan, North Luzon, Pangasinan, 2436</t>
  </si>
  <si>
    <t>Bued</t>
  </si>
  <si>
    <t>Binalonan</t>
  </si>
  <si>
    <t>Pangasinan</t>
  </si>
  <si>
    <t>North Luzon</t>
  </si>
  <si>
    <t>2436</t>
  </si>
  <si>
    <t>2506214KPH6GJ0</t>
  </si>
  <si>
    <t>P6002CAJEGZAI</t>
  </si>
  <si>
    <t>Standard Local-Flash Express</t>
  </si>
  <si>
    <t>2025-06-21 18:12</t>
  </si>
  <si>
    <t>2025-06-21 06:43</t>
  </si>
  <si>
    <t>2025-06-21 06:55</t>
  </si>
  <si>
    <t>10</t>
  </si>
  <si>
    <t>130</t>
  </si>
  <si>
    <t>330</t>
  </si>
  <si>
    <t>140</t>
  </si>
  <si>
    <t>soydagandal</t>
  </si>
  <si>
    <t>A******l</t>
  </si>
  <si>
    <t>******62</t>
  </si>
  <si>
    <t>Mayo Elementary School, Mayo, Mayo, Columbio, Mindanao, Sultan Kudarat, 1980</t>
  </si>
  <si>
    <t>Mayo</t>
  </si>
  <si>
    <t>Columbio</t>
  </si>
  <si>
    <t>Sultan Kudarat</t>
  </si>
  <si>
    <t>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</si>
</sst>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1"/>
  <sheetViews>
    <sheetView tabSelected="1" workbookViewId="0">
      <selection activeCell="AI12" sqref="AI12"/>
    </sheetView>
  </sheetViews>
  <sheetFormatPr defaultRowHeight="15" x14ac:dyDescent="0.2"/>
  <cols>
    <col min="1" max="5" width="20.04296875" customWidth="1"/>
    <col min="6" max="7" width="29.99609375" customWidth="1"/>
    <col min="8" max="12" width="20.04296875" customWidth="1"/>
    <col min="13" max="13" width="69.94921875" customWidth="1"/>
    <col min="14" max="14" width="20.04296875" customWidth="1"/>
    <col min="15" max="15" width="29.99609375" customWidth="1"/>
    <col min="16" max="17" width="20.04296875" customWidth="1"/>
    <col min="18" max="18" width="29.99609375" customWidth="1"/>
    <col min="19" max="20" width="20.04296875" customWidth="1"/>
    <col min="21" max="23" width="29.99609375" customWidth="1"/>
    <col min="24" max="34" width="20.04296875" customWidth="1"/>
    <col min="35" max="35" width="9.953125" customWidth="1"/>
    <col min="36" max="36" width="20.04296875" customWidth="1"/>
    <col min="37" max="37" width="29.99609375" customWidth="1"/>
    <col min="38" max="43" width="20.04296875" customWidth="1"/>
    <col min="44" max="44" width="14.9296875" customWidth="1"/>
    <col min="45" max="45" width="69.94921875" customWidth="1"/>
    <col min="46" max="49" width="20.04296875" customWidth="1"/>
    <col min="50" max="50" width="9.953125" customWidth="1"/>
    <col min="51" max="51" width="29.99609375" customWidth="1"/>
    <col min="52" max="52" width="69.94921875" customWidth="1"/>
    <col min="53" max="53" width="20.04296875" customWidth="1"/>
    <col min="54" max="54" width="69.94921875" customWidth="1"/>
    <col min="55" max="59" width="20.04296875" customWidth="1"/>
  </cols>
  <sheetData>
    <row r="1" spans="1:59" ht="47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68</v>
      </c>
      <c r="K2" s="4" t="s">
        <v>69</v>
      </c>
      <c r="L2" s="4" t="s">
        <v>70</v>
      </c>
      <c r="M2" s="4" t="s">
        <v>71</v>
      </c>
      <c r="N2" s="4" t="s">
        <v>72</v>
      </c>
      <c r="O2" s="4" t="s">
        <v>73</v>
      </c>
      <c r="P2" s="4" t="s">
        <v>74</v>
      </c>
      <c r="Q2" s="4" t="s">
        <v>74</v>
      </c>
      <c r="R2" s="4" t="s">
        <v>75</v>
      </c>
      <c r="S2" s="4" t="s">
        <v>76</v>
      </c>
      <c r="T2" s="4" t="s">
        <v>74</v>
      </c>
      <c r="U2" s="4" t="s">
        <v>76</v>
      </c>
      <c r="V2" s="4" t="s">
        <v>76</v>
      </c>
      <c r="W2" s="4" t="s">
        <v>76</v>
      </c>
      <c r="X2" s="4" t="s">
        <v>77</v>
      </c>
      <c r="Y2" s="4" t="s">
        <v>75</v>
      </c>
      <c r="Z2" s="4" t="s">
        <v>77</v>
      </c>
      <c r="AA2" s="4" t="s">
        <v>76</v>
      </c>
      <c r="AB2" s="4" t="s">
        <v>76</v>
      </c>
      <c r="AC2" s="4" t="s">
        <v>76</v>
      </c>
      <c r="AD2" s="4" t="s">
        <v>61</v>
      </c>
      <c r="AE2" s="4" t="s">
        <v>76</v>
      </c>
      <c r="AF2" s="4" t="s">
        <v>76</v>
      </c>
      <c r="AG2" s="4" t="s">
        <v>76</v>
      </c>
      <c r="AH2" s="4" t="s">
        <v>76</v>
      </c>
      <c r="AI2" s="4">
        <v>45</v>
      </c>
      <c r="AJ2" s="4" t="s">
        <v>78</v>
      </c>
      <c r="AK2" s="4" t="s">
        <v>79</v>
      </c>
      <c r="AL2" s="4" t="s">
        <v>76</v>
      </c>
      <c r="AM2" s="4" t="s">
        <v>80</v>
      </c>
      <c r="AN2" s="4" t="s">
        <v>81</v>
      </c>
      <c r="AO2" s="4" t="s">
        <v>82</v>
      </c>
      <c r="AP2" s="4" t="s">
        <v>83</v>
      </c>
      <c r="AQ2" s="4" t="s">
        <v>84</v>
      </c>
      <c r="AR2" s="4" t="s">
        <v>85</v>
      </c>
      <c r="AS2" s="4" t="s">
        <v>86</v>
      </c>
      <c r="AT2" s="4" t="s">
        <v>87</v>
      </c>
      <c r="AU2" s="4" t="s">
        <v>88</v>
      </c>
      <c r="AV2" s="4" t="s">
        <v>89</v>
      </c>
      <c r="AW2" s="4" t="s">
        <v>90</v>
      </c>
      <c r="AX2" s="4" t="s">
        <v>91</v>
      </c>
      <c r="AY2" s="4" t="s">
        <v>92</v>
      </c>
      <c r="AZ2" s="4" t="s">
        <v>62</v>
      </c>
      <c r="BA2" s="4" t="s">
        <v>62</v>
      </c>
      <c r="BB2" s="4" t="s">
        <v>62</v>
      </c>
      <c r="BC2" s="4" t="s">
        <v>62</v>
      </c>
      <c r="BD2" s="4" t="s">
        <v>62</v>
      </c>
      <c r="BE2" s="4" t="s">
        <v>62</v>
      </c>
      <c r="BF2" s="4" t="s">
        <v>62</v>
      </c>
      <c r="BG2" s="4" t="s">
        <v>62</v>
      </c>
    </row>
    <row r="3" spans="1:59" ht="24.75" x14ac:dyDescent="0.2">
      <c r="A3" s="2" t="s">
        <v>93</v>
      </c>
      <c r="B3" s="2" t="s">
        <v>60</v>
      </c>
      <c r="C3" s="2" t="s">
        <v>61</v>
      </c>
      <c r="D3" s="2" t="s">
        <v>62</v>
      </c>
      <c r="E3" s="2" t="s">
        <v>94</v>
      </c>
      <c r="F3" s="2" t="s">
        <v>64</v>
      </c>
      <c r="G3" s="2" t="s">
        <v>65</v>
      </c>
      <c r="H3" s="2" t="s">
        <v>66</v>
      </c>
      <c r="I3" s="2" t="s">
        <v>67</v>
      </c>
      <c r="J3" s="2" t="s">
        <v>95</v>
      </c>
      <c r="K3" s="2" t="s">
        <v>96</v>
      </c>
      <c r="L3" s="2" t="s">
        <v>97</v>
      </c>
      <c r="M3" s="2" t="s">
        <v>98</v>
      </c>
      <c r="N3" s="2" t="s">
        <v>99</v>
      </c>
      <c r="O3" s="2" t="s">
        <v>100</v>
      </c>
      <c r="P3" s="2" t="s">
        <v>82</v>
      </c>
      <c r="Q3" s="2" t="s">
        <v>82</v>
      </c>
      <c r="R3" s="2" t="s">
        <v>101</v>
      </c>
      <c r="S3" s="2" t="s">
        <v>76</v>
      </c>
      <c r="T3" s="2" t="s">
        <v>102</v>
      </c>
      <c r="U3" s="2" t="s">
        <v>76</v>
      </c>
      <c r="V3" s="2" t="s">
        <v>76</v>
      </c>
      <c r="W3" s="2" t="s">
        <v>76</v>
      </c>
      <c r="X3" s="2" t="s">
        <v>103</v>
      </c>
      <c r="Y3" s="2" t="s">
        <v>101</v>
      </c>
      <c r="Z3" s="2" t="s">
        <v>103</v>
      </c>
      <c r="AA3" s="2" t="s">
        <v>76</v>
      </c>
      <c r="AB3" s="2" t="s">
        <v>76</v>
      </c>
      <c r="AC3" s="2" t="s">
        <v>76</v>
      </c>
      <c r="AD3" s="2" t="s">
        <v>61</v>
      </c>
      <c r="AE3" s="2" t="s">
        <v>76</v>
      </c>
      <c r="AF3" s="2" t="s">
        <v>76</v>
      </c>
      <c r="AG3" s="2" t="s">
        <v>76</v>
      </c>
      <c r="AH3" s="2" t="s">
        <v>76</v>
      </c>
      <c r="AI3" s="2">
        <v>97</v>
      </c>
      <c r="AJ3" s="2" t="s">
        <v>104</v>
      </c>
      <c r="AK3" s="2" t="s">
        <v>105</v>
      </c>
      <c r="AL3" s="2" t="s">
        <v>76</v>
      </c>
      <c r="AM3" s="2" t="s">
        <v>106</v>
      </c>
      <c r="AN3" s="2" t="s">
        <v>107</v>
      </c>
      <c r="AO3" s="2" t="s">
        <v>82</v>
      </c>
      <c r="AP3" s="2" t="s">
        <v>108</v>
      </c>
      <c r="AQ3" s="2" t="s">
        <v>109</v>
      </c>
      <c r="AR3" s="2" t="s">
        <v>110</v>
      </c>
      <c r="AS3" s="2" t="s">
        <v>111</v>
      </c>
      <c r="AT3" s="2" t="s">
        <v>112</v>
      </c>
      <c r="AU3" s="2" t="s">
        <v>113</v>
      </c>
      <c r="AV3" s="2" t="s">
        <v>114</v>
      </c>
      <c r="AW3" s="2" t="s">
        <v>90</v>
      </c>
      <c r="AX3" s="2" t="s">
        <v>91</v>
      </c>
      <c r="AY3" s="2" t="s">
        <v>115</v>
      </c>
      <c r="AZ3" s="2" t="s">
        <v>62</v>
      </c>
      <c r="BA3" s="2" t="s">
        <v>62</v>
      </c>
      <c r="BB3" s="2" t="s">
        <v>62</v>
      </c>
      <c r="BC3" s="2" t="s">
        <v>62</v>
      </c>
      <c r="BD3" s="2" t="s">
        <v>62</v>
      </c>
      <c r="BE3" s="2" t="s">
        <v>62</v>
      </c>
      <c r="BF3" s="2" t="s">
        <v>62</v>
      </c>
      <c r="BG3" s="2" t="s">
        <v>62</v>
      </c>
    </row>
    <row r="4" spans="1:59" x14ac:dyDescent="0.2">
      <c r="A4" s="4" t="s">
        <v>116</v>
      </c>
      <c r="B4" s="4" t="s">
        <v>60</v>
      </c>
      <c r="C4" s="4" t="s">
        <v>61</v>
      </c>
      <c r="D4" s="4" t="s">
        <v>62</v>
      </c>
      <c r="E4" s="4" t="s">
        <v>117</v>
      </c>
      <c r="F4" s="4" t="s">
        <v>64</v>
      </c>
      <c r="G4" s="4" t="s">
        <v>65</v>
      </c>
      <c r="H4" s="4" t="s">
        <v>66</v>
      </c>
      <c r="I4" s="4" t="s">
        <v>67</v>
      </c>
      <c r="J4" s="4" t="s">
        <v>118</v>
      </c>
      <c r="K4" s="4" t="s">
        <v>119</v>
      </c>
      <c r="L4" s="4" t="s">
        <v>120</v>
      </c>
      <c r="M4" s="4" t="s">
        <v>121</v>
      </c>
      <c r="N4" s="4" t="s">
        <v>120</v>
      </c>
      <c r="O4" s="4" t="s">
        <v>62</v>
      </c>
      <c r="P4" s="4" t="s">
        <v>122</v>
      </c>
      <c r="Q4" s="4" t="s">
        <v>122</v>
      </c>
      <c r="R4" s="4" t="s">
        <v>75</v>
      </c>
      <c r="S4" s="4" t="s">
        <v>76</v>
      </c>
      <c r="T4" s="4" t="s">
        <v>122</v>
      </c>
      <c r="U4" s="4" t="s">
        <v>76</v>
      </c>
      <c r="V4" s="4" t="s">
        <v>76</v>
      </c>
      <c r="W4" s="4" t="s">
        <v>76</v>
      </c>
      <c r="X4" s="4" t="s">
        <v>123</v>
      </c>
      <c r="Y4" s="4" t="s">
        <v>75</v>
      </c>
      <c r="Z4" s="4" t="s">
        <v>123</v>
      </c>
      <c r="AA4" s="4" t="s">
        <v>76</v>
      </c>
      <c r="AB4" s="4" t="s">
        <v>76</v>
      </c>
      <c r="AC4" s="4" t="s">
        <v>124</v>
      </c>
      <c r="AD4" s="4" t="s">
        <v>61</v>
      </c>
      <c r="AE4" s="4" t="s">
        <v>76</v>
      </c>
      <c r="AF4" s="4" t="s">
        <v>76</v>
      </c>
      <c r="AG4" s="4" t="s">
        <v>76</v>
      </c>
      <c r="AH4" s="4" t="s">
        <v>76</v>
      </c>
      <c r="AI4" s="4" t="s">
        <v>125</v>
      </c>
      <c r="AJ4" s="4" t="s">
        <v>76</v>
      </c>
      <c r="AK4" s="4" t="s">
        <v>126</v>
      </c>
      <c r="AL4" s="4" t="s">
        <v>76</v>
      </c>
      <c r="AM4" s="4" t="s">
        <v>127</v>
      </c>
      <c r="AN4" s="4" t="s">
        <v>125</v>
      </c>
      <c r="AO4" s="4" t="s">
        <v>126</v>
      </c>
      <c r="AP4" s="4" t="s">
        <v>128</v>
      </c>
      <c r="AQ4" s="4" t="s">
        <v>129</v>
      </c>
      <c r="AR4" s="4" t="s">
        <v>130</v>
      </c>
      <c r="AS4" s="4" t="s">
        <v>131</v>
      </c>
      <c r="AT4" s="4" t="s">
        <v>132</v>
      </c>
      <c r="AU4" s="4" t="s">
        <v>133</v>
      </c>
      <c r="AV4" s="4" t="s">
        <v>134</v>
      </c>
      <c r="AW4" s="4" t="s">
        <v>135</v>
      </c>
      <c r="AX4" s="4" t="s">
        <v>91</v>
      </c>
      <c r="AY4" s="4" t="s">
        <v>136</v>
      </c>
      <c r="AZ4" s="4" t="s">
        <v>62</v>
      </c>
      <c r="BA4" s="4" t="s">
        <v>62</v>
      </c>
      <c r="BB4" s="4" t="s">
        <v>62</v>
      </c>
      <c r="BC4" s="4" t="s">
        <v>62</v>
      </c>
      <c r="BD4" s="4" t="s">
        <v>62</v>
      </c>
      <c r="BE4" s="4" t="s">
        <v>62</v>
      </c>
      <c r="BF4" s="4" t="s">
        <v>62</v>
      </c>
      <c r="BG4" s="4" t="s">
        <v>62</v>
      </c>
    </row>
    <row r="5" spans="1:59" ht="24.75" x14ac:dyDescent="0.2">
      <c r="A5" s="2" t="s">
        <v>137</v>
      </c>
      <c r="B5" s="2" t="s">
        <v>60</v>
      </c>
      <c r="C5" s="2" t="s">
        <v>61</v>
      </c>
      <c r="D5" s="2" t="s">
        <v>62</v>
      </c>
      <c r="E5" s="2" t="s">
        <v>138</v>
      </c>
      <c r="F5" s="2" t="s">
        <v>64</v>
      </c>
      <c r="G5" s="2" t="s">
        <v>65</v>
      </c>
      <c r="H5" s="2" t="s">
        <v>66</v>
      </c>
      <c r="I5" s="2" t="s">
        <v>67</v>
      </c>
      <c r="J5" s="2" t="s">
        <v>139</v>
      </c>
      <c r="K5" s="2" t="s">
        <v>140</v>
      </c>
      <c r="L5" s="2" t="s">
        <v>141</v>
      </c>
      <c r="M5" s="2" t="s">
        <v>142</v>
      </c>
      <c r="N5" s="2" t="s">
        <v>141</v>
      </c>
      <c r="O5" s="2" t="s">
        <v>62</v>
      </c>
      <c r="P5" s="2" t="s">
        <v>143</v>
      </c>
      <c r="Q5" s="2" t="s">
        <v>143</v>
      </c>
      <c r="R5" s="2" t="s">
        <v>75</v>
      </c>
      <c r="S5" s="2" t="s">
        <v>76</v>
      </c>
      <c r="T5" s="2" t="s">
        <v>143</v>
      </c>
      <c r="U5" s="2" t="s">
        <v>76</v>
      </c>
      <c r="V5" s="2" t="s">
        <v>76</v>
      </c>
      <c r="W5" s="2" t="s">
        <v>76</v>
      </c>
      <c r="X5" s="2" t="s">
        <v>103</v>
      </c>
      <c r="Y5" s="2" t="s">
        <v>75</v>
      </c>
      <c r="Z5" s="2" t="s">
        <v>103</v>
      </c>
      <c r="AA5" s="2" t="s">
        <v>76</v>
      </c>
      <c r="AB5" s="2" t="s">
        <v>76</v>
      </c>
      <c r="AC5" s="2" t="s">
        <v>144</v>
      </c>
      <c r="AD5" s="2" t="s">
        <v>61</v>
      </c>
      <c r="AE5" s="2" t="s">
        <v>76</v>
      </c>
      <c r="AF5" s="2" t="s">
        <v>76</v>
      </c>
      <c r="AG5" s="2" t="s">
        <v>76</v>
      </c>
      <c r="AH5" s="2" t="s">
        <v>76</v>
      </c>
      <c r="AI5" s="2" t="s">
        <v>145</v>
      </c>
      <c r="AJ5" s="2" t="s">
        <v>146</v>
      </c>
      <c r="AK5" s="2" t="s">
        <v>147</v>
      </c>
      <c r="AL5" s="2" t="s">
        <v>76</v>
      </c>
      <c r="AM5" s="2" t="s">
        <v>79</v>
      </c>
      <c r="AN5" s="2">
        <v>372</v>
      </c>
      <c r="AO5" s="2" t="s">
        <v>148</v>
      </c>
      <c r="AP5" s="2" t="s">
        <v>149</v>
      </c>
      <c r="AQ5" s="2" t="s">
        <v>150</v>
      </c>
      <c r="AR5" s="2" t="s">
        <v>151</v>
      </c>
      <c r="AS5" s="2" t="s">
        <v>152</v>
      </c>
      <c r="AT5" s="2" t="s">
        <v>153</v>
      </c>
      <c r="AU5" s="2" t="s">
        <v>154</v>
      </c>
      <c r="AV5" s="2" t="s">
        <v>155</v>
      </c>
      <c r="AW5" s="2" t="s">
        <v>156</v>
      </c>
      <c r="AX5" s="2" t="s">
        <v>91</v>
      </c>
      <c r="AY5" s="2" t="s">
        <v>157</v>
      </c>
      <c r="AZ5" s="2" t="s">
        <v>62</v>
      </c>
      <c r="BA5" s="2" t="s">
        <v>62</v>
      </c>
      <c r="BB5" s="2" t="s">
        <v>62</v>
      </c>
      <c r="BC5" s="2" t="s">
        <v>62</v>
      </c>
      <c r="BD5" s="2" t="s">
        <v>62</v>
      </c>
      <c r="BE5" s="2" t="s">
        <v>62</v>
      </c>
      <c r="BF5" s="2" t="s">
        <v>62</v>
      </c>
      <c r="BG5" s="2" t="s">
        <v>62</v>
      </c>
    </row>
    <row r="6" spans="1:59" ht="24.75" x14ac:dyDescent="0.2">
      <c r="A6" s="4" t="s">
        <v>158</v>
      </c>
      <c r="B6" s="4" t="s">
        <v>60</v>
      </c>
      <c r="C6" s="4" t="s">
        <v>61</v>
      </c>
      <c r="D6" s="4" t="s">
        <v>62</v>
      </c>
      <c r="E6" s="4" t="s">
        <v>159</v>
      </c>
      <c r="F6" s="4" t="s">
        <v>64</v>
      </c>
      <c r="G6" s="4" t="s">
        <v>65</v>
      </c>
      <c r="H6" s="4" t="s">
        <v>66</v>
      </c>
      <c r="I6" s="4" t="s">
        <v>67</v>
      </c>
      <c r="J6" s="4" t="s">
        <v>160</v>
      </c>
      <c r="K6" s="4" t="s">
        <v>161</v>
      </c>
      <c r="L6" s="4" t="s">
        <v>162</v>
      </c>
      <c r="M6" s="4" t="s">
        <v>163</v>
      </c>
      <c r="N6" s="4" t="s">
        <v>162</v>
      </c>
      <c r="O6" s="4" t="s">
        <v>62</v>
      </c>
      <c r="P6" s="4" t="s">
        <v>164</v>
      </c>
      <c r="Q6" s="4" t="s">
        <v>164</v>
      </c>
      <c r="R6" s="4" t="s">
        <v>75</v>
      </c>
      <c r="S6" s="4" t="s">
        <v>76</v>
      </c>
      <c r="T6" s="4" t="s">
        <v>164</v>
      </c>
      <c r="U6" s="4" t="s">
        <v>76</v>
      </c>
      <c r="V6" s="4" t="s">
        <v>76</v>
      </c>
      <c r="W6" s="4" t="s">
        <v>76</v>
      </c>
      <c r="X6" s="4" t="s">
        <v>165</v>
      </c>
      <c r="Y6" s="4" t="s">
        <v>75</v>
      </c>
      <c r="Z6" s="4" t="s">
        <v>165</v>
      </c>
      <c r="AA6" s="4" t="s">
        <v>76</v>
      </c>
      <c r="AB6" s="4" t="s">
        <v>76</v>
      </c>
      <c r="AC6" s="4" t="s">
        <v>76</v>
      </c>
      <c r="AD6" s="4" t="s">
        <v>61</v>
      </c>
      <c r="AE6" s="4" t="s">
        <v>76</v>
      </c>
      <c r="AF6" s="4" t="s">
        <v>76</v>
      </c>
      <c r="AG6" s="4" t="s">
        <v>76</v>
      </c>
      <c r="AH6" s="4" t="s">
        <v>76</v>
      </c>
      <c r="AI6" s="4">
        <v>1414</v>
      </c>
      <c r="AJ6" s="4" t="s">
        <v>76</v>
      </c>
      <c r="AK6" s="4" t="s">
        <v>105</v>
      </c>
      <c r="AL6" s="4" t="s">
        <v>76</v>
      </c>
      <c r="AM6" s="4" t="s">
        <v>166</v>
      </c>
      <c r="AN6" s="4">
        <v>1414</v>
      </c>
      <c r="AO6" s="4" t="s">
        <v>105</v>
      </c>
      <c r="AP6" s="4" t="s">
        <v>167</v>
      </c>
      <c r="AQ6" s="4" t="s">
        <v>168</v>
      </c>
      <c r="AR6" s="4" t="s">
        <v>169</v>
      </c>
      <c r="AS6" s="4" t="s">
        <v>170</v>
      </c>
      <c r="AT6" s="4" t="s">
        <v>171</v>
      </c>
      <c r="AU6" s="4" t="s">
        <v>172</v>
      </c>
      <c r="AV6" s="4" t="s">
        <v>173</v>
      </c>
      <c r="AW6" s="4" t="s">
        <v>173</v>
      </c>
      <c r="AX6" s="4" t="s">
        <v>91</v>
      </c>
      <c r="AY6" s="4" t="s">
        <v>174</v>
      </c>
      <c r="AZ6" s="4" t="s">
        <v>62</v>
      </c>
      <c r="BA6" s="4" t="s">
        <v>62</v>
      </c>
      <c r="BB6" s="4" t="s">
        <v>62</v>
      </c>
      <c r="BC6" s="4" t="s">
        <v>175</v>
      </c>
      <c r="BD6" s="4" t="s">
        <v>176</v>
      </c>
      <c r="BE6" s="4" t="s">
        <v>177</v>
      </c>
      <c r="BF6" s="4" t="s">
        <v>62</v>
      </c>
      <c r="BG6" s="4" t="s">
        <v>178</v>
      </c>
    </row>
    <row r="7" spans="1:59" ht="24.75" x14ac:dyDescent="0.2">
      <c r="A7" s="2" t="s">
        <v>179</v>
      </c>
      <c r="B7" s="2" t="s">
        <v>60</v>
      </c>
      <c r="C7" s="2" t="s">
        <v>61</v>
      </c>
      <c r="D7" s="2" t="s">
        <v>62</v>
      </c>
      <c r="E7" s="2" t="s">
        <v>180</v>
      </c>
      <c r="F7" s="2" t="s">
        <v>64</v>
      </c>
      <c r="G7" s="2" t="s">
        <v>65</v>
      </c>
      <c r="H7" s="2" t="s">
        <v>66</v>
      </c>
      <c r="I7" s="2" t="s">
        <v>181</v>
      </c>
      <c r="J7" s="2" t="s">
        <v>182</v>
      </c>
      <c r="K7" s="2" t="s">
        <v>183</v>
      </c>
      <c r="L7" s="2" t="s">
        <v>120</v>
      </c>
      <c r="M7" s="2" t="s">
        <v>121</v>
      </c>
      <c r="N7" s="2" t="s">
        <v>120</v>
      </c>
      <c r="O7" s="2" t="s">
        <v>62</v>
      </c>
      <c r="P7" s="2" t="s">
        <v>122</v>
      </c>
      <c r="Q7" s="2" t="s">
        <v>122</v>
      </c>
      <c r="R7" s="2" t="s">
        <v>75</v>
      </c>
      <c r="S7" s="2" t="s">
        <v>76</v>
      </c>
      <c r="T7" s="2" t="s">
        <v>122</v>
      </c>
      <c r="U7" s="2" t="s">
        <v>76</v>
      </c>
      <c r="V7" s="2" t="s">
        <v>76</v>
      </c>
      <c r="W7" s="2" t="s">
        <v>76</v>
      </c>
      <c r="X7" s="2" t="s">
        <v>123</v>
      </c>
      <c r="Y7" s="2" t="s">
        <v>101</v>
      </c>
      <c r="Z7" s="2" t="s">
        <v>184</v>
      </c>
      <c r="AA7" s="2" t="s">
        <v>76</v>
      </c>
      <c r="AB7" s="2" t="s">
        <v>76</v>
      </c>
      <c r="AC7" s="2" t="s">
        <v>185</v>
      </c>
      <c r="AD7" s="2" t="s">
        <v>61</v>
      </c>
      <c r="AE7" s="2" t="s">
        <v>76</v>
      </c>
      <c r="AF7" s="2" t="s">
        <v>76</v>
      </c>
      <c r="AG7" s="2" t="s">
        <v>76</v>
      </c>
      <c r="AH7" s="2" t="s">
        <v>76</v>
      </c>
      <c r="AI7" s="2">
        <f>549/2</f>
        <v>274.5</v>
      </c>
      <c r="AJ7" s="2" t="s">
        <v>186</v>
      </c>
      <c r="AK7" s="2" t="s">
        <v>187</v>
      </c>
      <c r="AL7" s="2" t="s">
        <v>76</v>
      </c>
      <c r="AM7" s="2" t="s">
        <v>188</v>
      </c>
      <c r="AN7" s="2" t="s">
        <v>189</v>
      </c>
      <c r="AO7" s="2" t="s">
        <v>190</v>
      </c>
      <c r="AP7" s="2" t="s">
        <v>191</v>
      </c>
      <c r="AQ7" s="2" t="s">
        <v>192</v>
      </c>
      <c r="AR7" s="2" t="s">
        <v>193</v>
      </c>
      <c r="AS7" s="2" t="s">
        <v>194</v>
      </c>
      <c r="AT7" s="2" t="s">
        <v>195</v>
      </c>
      <c r="AU7" s="2" t="s">
        <v>196</v>
      </c>
      <c r="AV7" s="2" t="s">
        <v>197</v>
      </c>
      <c r="AW7" s="2" t="s">
        <v>156</v>
      </c>
      <c r="AX7" s="2" t="s">
        <v>91</v>
      </c>
      <c r="AY7" s="2" t="s">
        <v>198</v>
      </c>
      <c r="AZ7" s="2" t="s">
        <v>62</v>
      </c>
      <c r="BA7" s="2" t="s">
        <v>62</v>
      </c>
      <c r="BB7" s="2" t="s">
        <v>62</v>
      </c>
      <c r="BC7" s="2" t="s">
        <v>62</v>
      </c>
      <c r="BD7" s="2" t="s">
        <v>62</v>
      </c>
      <c r="BE7" s="2" t="s">
        <v>62</v>
      </c>
      <c r="BF7" s="2" t="s">
        <v>62</v>
      </c>
      <c r="BG7" s="2" t="s">
        <v>62</v>
      </c>
    </row>
    <row r="8" spans="1:59" ht="24.75" x14ac:dyDescent="0.2">
      <c r="A8" s="5" t="s">
        <v>179</v>
      </c>
      <c r="B8" s="5" t="s">
        <v>60</v>
      </c>
      <c r="C8" s="5" t="s">
        <v>61</v>
      </c>
      <c r="D8" s="5" t="s">
        <v>62</v>
      </c>
      <c r="E8" s="5" t="s">
        <v>180</v>
      </c>
      <c r="F8" s="5" t="s">
        <v>64</v>
      </c>
      <c r="G8" s="5" t="s">
        <v>65</v>
      </c>
      <c r="H8" s="5" t="s">
        <v>66</v>
      </c>
      <c r="I8" s="5" t="s">
        <v>181</v>
      </c>
      <c r="J8" s="5" t="s">
        <v>182</v>
      </c>
      <c r="K8" s="5" t="s">
        <v>183</v>
      </c>
      <c r="L8" s="2" t="s">
        <v>199</v>
      </c>
      <c r="M8" s="2" t="s">
        <v>200</v>
      </c>
      <c r="N8" s="2" t="s">
        <v>201</v>
      </c>
      <c r="O8" s="2" t="s">
        <v>202</v>
      </c>
      <c r="P8" s="2" t="s">
        <v>203</v>
      </c>
      <c r="Q8" s="2" t="s">
        <v>203</v>
      </c>
      <c r="R8" s="2" t="s">
        <v>75</v>
      </c>
      <c r="S8" s="2" t="s">
        <v>76</v>
      </c>
      <c r="T8" s="5" t="s">
        <v>203</v>
      </c>
      <c r="U8" s="5" t="s">
        <v>76</v>
      </c>
      <c r="V8" s="5" t="s">
        <v>76</v>
      </c>
      <c r="W8" s="5" t="s">
        <v>76</v>
      </c>
      <c r="X8" s="5" t="s">
        <v>204</v>
      </c>
      <c r="Y8" s="5" t="s">
        <v>101</v>
      </c>
      <c r="Z8" s="5" t="s">
        <v>184</v>
      </c>
      <c r="AA8" s="5" t="s">
        <v>76</v>
      </c>
      <c r="AB8" s="5" t="s">
        <v>76</v>
      </c>
      <c r="AC8" s="5" t="s">
        <v>185</v>
      </c>
      <c r="AD8" s="5" t="s">
        <v>61</v>
      </c>
      <c r="AE8" s="5" t="s">
        <v>76</v>
      </c>
      <c r="AF8" s="5" t="s">
        <v>76</v>
      </c>
      <c r="AG8" s="5" t="s">
        <v>76</v>
      </c>
      <c r="AH8" s="5" t="s">
        <v>76</v>
      </c>
      <c r="AI8" s="5">
        <f>549/2</f>
        <v>274.5</v>
      </c>
      <c r="AJ8" s="5" t="s">
        <v>186</v>
      </c>
      <c r="AK8" s="5" t="s">
        <v>187</v>
      </c>
      <c r="AL8" s="5" t="s">
        <v>76</v>
      </c>
      <c r="AM8" s="5" t="s">
        <v>188</v>
      </c>
      <c r="AN8" s="5" t="s">
        <v>189</v>
      </c>
      <c r="AO8" s="5" t="s">
        <v>190</v>
      </c>
      <c r="AP8" s="5" t="s">
        <v>191</v>
      </c>
      <c r="AQ8" s="5" t="s">
        <v>192</v>
      </c>
      <c r="AR8" s="5" t="s">
        <v>193</v>
      </c>
      <c r="AS8" s="5" t="s">
        <v>194</v>
      </c>
      <c r="AT8" s="5" t="s">
        <v>195</v>
      </c>
      <c r="AU8" s="5" t="s">
        <v>196</v>
      </c>
      <c r="AV8" s="5" t="s">
        <v>197</v>
      </c>
      <c r="AW8" s="5" t="s">
        <v>156</v>
      </c>
      <c r="AX8" s="5" t="s">
        <v>91</v>
      </c>
      <c r="AY8" s="5" t="s">
        <v>198</v>
      </c>
      <c r="AZ8" s="5" t="s">
        <v>62</v>
      </c>
      <c r="BA8" s="5" t="s">
        <v>62</v>
      </c>
      <c r="BB8" s="5" t="s">
        <v>62</v>
      </c>
      <c r="BC8" s="5" t="s">
        <v>62</v>
      </c>
      <c r="BD8" s="5" t="s">
        <v>62</v>
      </c>
      <c r="BE8" s="5" t="s">
        <v>62</v>
      </c>
      <c r="BF8" s="5" t="s">
        <v>62</v>
      </c>
      <c r="BG8" s="5" t="s">
        <v>62</v>
      </c>
    </row>
    <row r="9" spans="1:59" ht="24.75" x14ac:dyDescent="0.2">
      <c r="A9" s="4" t="s">
        <v>205</v>
      </c>
      <c r="B9" s="4" t="s">
        <v>60</v>
      </c>
      <c r="C9" s="4" t="s">
        <v>61</v>
      </c>
      <c r="D9" s="4" t="s">
        <v>62</v>
      </c>
      <c r="E9" s="4" t="s">
        <v>206</v>
      </c>
      <c r="F9" s="4" t="s">
        <v>64</v>
      </c>
      <c r="G9" s="4" t="s">
        <v>65</v>
      </c>
      <c r="H9" s="4" t="s">
        <v>66</v>
      </c>
      <c r="I9" s="4" t="s">
        <v>181</v>
      </c>
      <c r="J9" s="4" t="s">
        <v>207</v>
      </c>
      <c r="K9" s="4" t="s">
        <v>208</v>
      </c>
      <c r="L9" s="4" t="s">
        <v>209</v>
      </c>
      <c r="M9" s="4" t="s">
        <v>210</v>
      </c>
      <c r="N9" s="4" t="s">
        <v>211</v>
      </c>
      <c r="O9" s="4" t="s">
        <v>212</v>
      </c>
      <c r="P9" s="4" t="s">
        <v>187</v>
      </c>
      <c r="Q9" s="4" t="s">
        <v>187</v>
      </c>
      <c r="R9" s="4" t="s">
        <v>75</v>
      </c>
      <c r="S9" s="4" t="s">
        <v>76</v>
      </c>
      <c r="T9" s="4" t="s">
        <v>187</v>
      </c>
      <c r="U9" s="4" t="s">
        <v>76</v>
      </c>
      <c r="V9" s="4" t="s">
        <v>76</v>
      </c>
      <c r="W9" s="4" t="s">
        <v>76</v>
      </c>
      <c r="X9" s="4" t="s">
        <v>213</v>
      </c>
      <c r="Y9" s="4" t="s">
        <v>75</v>
      </c>
      <c r="Z9" s="4" t="s">
        <v>213</v>
      </c>
      <c r="AA9" s="4" t="s">
        <v>76</v>
      </c>
      <c r="AB9" s="4" t="s">
        <v>76</v>
      </c>
      <c r="AC9" s="4" t="s">
        <v>76</v>
      </c>
      <c r="AD9" s="4" t="s">
        <v>61</v>
      </c>
      <c r="AE9" s="4" t="s">
        <v>76</v>
      </c>
      <c r="AF9" s="4" t="s">
        <v>76</v>
      </c>
      <c r="AG9" s="4" t="s">
        <v>76</v>
      </c>
      <c r="AH9" s="4" t="s">
        <v>76</v>
      </c>
      <c r="AI9" s="4">
        <v>125</v>
      </c>
      <c r="AJ9" s="4" t="s">
        <v>76</v>
      </c>
      <c r="AK9" s="4" t="s">
        <v>82</v>
      </c>
      <c r="AL9" s="4" t="s">
        <v>76</v>
      </c>
      <c r="AM9" s="4" t="s">
        <v>104</v>
      </c>
      <c r="AN9" s="4" t="s">
        <v>187</v>
      </c>
      <c r="AO9" s="4" t="s">
        <v>82</v>
      </c>
      <c r="AP9" s="4" t="s">
        <v>214</v>
      </c>
      <c r="AQ9" s="4" t="s">
        <v>215</v>
      </c>
      <c r="AR9" s="4" t="s">
        <v>216</v>
      </c>
      <c r="AS9" s="4" t="s">
        <v>217</v>
      </c>
      <c r="AT9" s="4" t="s">
        <v>218</v>
      </c>
      <c r="AU9" s="4" t="s">
        <v>219</v>
      </c>
      <c r="AV9" s="4" t="s">
        <v>114</v>
      </c>
      <c r="AW9" s="4" t="s">
        <v>90</v>
      </c>
      <c r="AX9" s="4" t="s">
        <v>91</v>
      </c>
      <c r="AY9" s="4" t="s">
        <v>220</v>
      </c>
      <c r="AZ9" s="4" t="s">
        <v>62</v>
      </c>
      <c r="BA9" s="4" t="s">
        <v>62</v>
      </c>
      <c r="BB9" s="4" t="s">
        <v>62</v>
      </c>
      <c r="BC9" s="4" t="s">
        <v>62</v>
      </c>
      <c r="BD9" s="4" t="s">
        <v>62</v>
      </c>
      <c r="BE9" s="4" t="s">
        <v>62</v>
      </c>
      <c r="BF9" s="4" t="s">
        <v>62</v>
      </c>
      <c r="BG9" s="4" t="s">
        <v>62</v>
      </c>
    </row>
    <row r="10" spans="1:59" x14ac:dyDescent="0.2">
      <c r="A10" s="2" t="s">
        <v>221</v>
      </c>
      <c r="B10" s="2" t="s">
        <v>60</v>
      </c>
      <c r="C10" s="2" t="s">
        <v>61</v>
      </c>
      <c r="D10" s="2" t="s">
        <v>62</v>
      </c>
      <c r="E10" s="2" t="s">
        <v>222</v>
      </c>
      <c r="F10" s="2" t="s">
        <v>64</v>
      </c>
      <c r="G10" s="2" t="s">
        <v>65</v>
      </c>
      <c r="H10" s="2" t="s">
        <v>66</v>
      </c>
      <c r="I10" s="2" t="s">
        <v>181</v>
      </c>
      <c r="J10" s="2" t="s">
        <v>223</v>
      </c>
      <c r="K10" s="2" t="s">
        <v>224</v>
      </c>
      <c r="L10" s="2" t="s">
        <v>225</v>
      </c>
      <c r="M10" s="2" t="s">
        <v>226</v>
      </c>
      <c r="N10" s="2" t="s">
        <v>227</v>
      </c>
      <c r="O10" s="2" t="s">
        <v>228</v>
      </c>
      <c r="P10" s="2" t="s">
        <v>229</v>
      </c>
      <c r="Q10" s="2" t="s">
        <v>229</v>
      </c>
      <c r="R10" s="2" t="s">
        <v>75</v>
      </c>
      <c r="S10" s="2" t="s">
        <v>76</v>
      </c>
      <c r="T10" s="2" t="s">
        <v>229</v>
      </c>
      <c r="U10" s="2" t="s">
        <v>76</v>
      </c>
      <c r="V10" s="2" t="s">
        <v>76</v>
      </c>
      <c r="W10" s="2" t="s">
        <v>76</v>
      </c>
      <c r="X10" s="2" t="s">
        <v>230</v>
      </c>
      <c r="Y10" s="2" t="s">
        <v>75</v>
      </c>
      <c r="Z10" s="2" t="s">
        <v>230</v>
      </c>
      <c r="AA10" s="2" t="s">
        <v>76</v>
      </c>
      <c r="AB10" s="2" t="s">
        <v>76</v>
      </c>
      <c r="AC10" s="2" t="s">
        <v>76</v>
      </c>
      <c r="AD10" s="2" t="s">
        <v>61</v>
      </c>
      <c r="AE10" s="2" t="s">
        <v>76</v>
      </c>
      <c r="AF10" s="2" t="s">
        <v>76</v>
      </c>
      <c r="AG10" s="2" t="s">
        <v>76</v>
      </c>
      <c r="AH10" s="2" t="s">
        <v>76</v>
      </c>
      <c r="AI10" s="2">
        <v>49</v>
      </c>
      <c r="AJ10" s="2" t="s">
        <v>78</v>
      </c>
      <c r="AK10" s="2" t="s">
        <v>79</v>
      </c>
      <c r="AL10" s="2" t="s">
        <v>76</v>
      </c>
      <c r="AM10" s="2" t="s">
        <v>80</v>
      </c>
      <c r="AN10" s="2" t="s">
        <v>231</v>
      </c>
      <c r="AO10" s="2" t="s">
        <v>82</v>
      </c>
      <c r="AP10" s="2" t="s">
        <v>232</v>
      </c>
      <c r="AQ10" s="2" t="s">
        <v>233</v>
      </c>
      <c r="AR10" s="2" t="s">
        <v>234</v>
      </c>
      <c r="AS10" s="2" t="s">
        <v>235</v>
      </c>
      <c r="AT10" s="2" t="s">
        <v>236</v>
      </c>
      <c r="AU10" s="2" t="s">
        <v>237</v>
      </c>
      <c r="AV10" s="2" t="s">
        <v>238</v>
      </c>
      <c r="AW10" s="2" t="s">
        <v>239</v>
      </c>
      <c r="AX10" s="2" t="s">
        <v>91</v>
      </c>
      <c r="AY10" s="2" t="s">
        <v>240</v>
      </c>
      <c r="AZ10" s="2" t="s">
        <v>62</v>
      </c>
      <c r="BA10" s="2" t="s">
        <v>62</v>
      </c>
      <c r="BB10" s="2" t="s">
        <v>62</v>
      </c>
      <c r="BC10" s="2" t="s">
        <v>62</v>
      </c>
      <c r="BD10" s="2" t="s">
        <v>62</v>
      </c>
      <c r="BE10" s="2" t="s">
        <v>62</v>
      </c>
      <c r="BF10" s="2" t="s">
        <v>62</v>
      </c>
      <c r="BG10" s="2" t="s">
        <v>62</v>
      </c>
    </row>
    <row r="11" spans="1:59" x14ac:dyDescent="0.2">
      <c r="A11" s="4" t="s">
        <v>241</v>
      </c>
      <c r="B11" s="4" t="s">
        <v>60</v>
      </c>
      <c r="C11" s="4" t="s">
        <v>61</v>
      </c>
      <c r="D11" s="4" t="s">
        <v>62</v>
      </c>
      <c r="E11" s="4" t="s">
        <v>242</v>
      </c>
      <c r="F11" s="4" t="s">
        <v>243</v>
      </c>
      <c r="G11" s="4" t="s">
        <v>65</v>
      </c>
      <c r="H11" s="4" t="s">
        <v>66</v>
      </c>
      <c r="I11" s="4" t="s">
        <v>244</v>
      </c>
      <c r="J11" s="4" t="s">
        <v>245</v>
      </c>
      <c r="K11" s="4" t="s">
        <v>246</v>
      </c>
      <c r="L11" s="4" t="s">
        <v>120</v>
      </c>
      <c r="M11" s="4" t="s">
        <v>121</v>
      </c>
      <c r="N11" s="4" t="s">
        <v>120</v>
      </c>
      <c r="O11" s="4" t="s">
        <v>62</v>
      </c>
      <c r="P11" s="4" t="s">
        <v>122</v>
      </c>
      <c r="Q11" s="4" t="s">
        <v>122</v>
      </c>
      <c r="R11" s="4" t="s">
        <v>75</v>
      </c>
      <c r="S11" s="4" t="s">
        <v>76</v>
      </c>
      <c r="T11" s="4" t="s">
        <v>122</v>
      </c>
      <c r="U11" s="4" t="s">
        <v>76</v>
      </c>
      <c r="V11" s="4" t="s">
        <v>76</v>
      </c>
      <c r="W11" s="4" t="s">
        <v>76</v>
      </c>
      <c r="X11" s="4" t="s">
        <v>123</v>
      </c>
      <c r="Y11" s="4" t="s">
        <v>75</v>
      </c>
      <c r="Z11" s="4" t="s">
        <v>123</v>
      </c>
      <c r="AA11" s="4" t="s">
        <v>76</v>
      </c>
      <c r="AB11" s="4" t="s">
        <v>76</v>
      </c>
      <c r="AC11" s="4" t="s">
        <v>76</v>
      </c>
      <c r="AD11" s="4" t="s">
        <v>61</v>
      </c>
      <c r="AE11" s="4" t="s">
        <v>76</v>
      </c>
      <c r="AF11" s="4" t="s">
        <v>76</v>
      </c>
      <c r="AG11" s="4" t="s">
        <v>76</v>
      </c>
      <c r="AH11" s="4" t="s">
        <v>76</v>
      </c>
      <c r="AI11" s="4">
        <v>266</v>
      </c>
      <c r="AJ11" s="4" t="s">
        <v>247</v>
      </c>
      <c r="AK11" s="4" t="s">
        <v>248</v>
      </c>
      <c r="AL11" s="4" t="s">
        <v>76</v>
      </c>
      <c r="AM11" s="4" t="s">
        <v>127</v>
      </c>
      <c r="AN11" s="4" t="s">
        <v>249</v>
      </c>
      <c r="AO11" s="4" t="s">
        <v>250</v>
      </c>
      <c r="AP11" s="4" t="s">
        <v>251</v>
      </c>
      <c r="AQ11" s="4" t="s">
        <v>252</v>
      </c>
      <c r="AR11" s="4" t="s">
        <v>253</v>
      </c>
      <c r="AS11" s="4" t="s">
        <v>254</v>
      </c>
      <c r="AT11" s="4" t="s">
        <v>255</v>
      </c>
      <c r="AU11" s="4" t="s">
        <v>256</v>
      </c>
      <c r="AV11" s="4" t="s">
        <v>257</v>
      </c>
      <c r="AW11" s="4" t="s">
        <v>135</v>
      </c>
      <c r="AX11" s="4" t="s">
        <v>91</v>
      </c>
      <c r="AY11" s="4" t="s">
        <v>258</v>
      </c>
      <c r="AZ11" s="4" t="s">
        <v>62</v>
      </c>
      <c r="BA11" s="4" t="s">
        <v>62</v>
      </c>
      <c r="BB11" s="4" t="s">
        <v>62</v>
      </c>
      <c r="BC11" s="4" t="s">
        <v>62</v>
      </c>
      <c r="BD11" s="4" t="s">
        <v>62</v>
      </c>
      <c r="BE11" s="4" t="s">
        <v>62</v>
      </c>
      <c r="BF11" s="4" t="s">
        <v>62</v>
      </c>
      <c r="BG11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